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shy\Desktop\"/>
    </mc:Choice>
  </mc:AlternateContent>
  <xr:revisionPtr revIDLastSave="0" documentId="8_{9B84285A-5DA2-44E0-8899-11E4A3B22A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Pivots" sheetId="2" r:id="rId2"/>
    <sheet name="Calc" sheetId="3" r:id="rId3"/>
    <sheet name="Sales_Data" sheetId="4" r:id="rId4"/>
    <sheet name="Guide" sheetId="5" r:id="rId5"/>
  </sheets>
  <definedNames>
    <definedName name="_xlnm.Print_Area" localSheetId="0">Dashboard!$A$1:$O$52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01" i="4" l="1"/>
  <c r="N901" i="4"/>
  <c r="M901" i="4"/>
  <c r="D901" i="4"/>
  <c r="C901" i="4"/>
  <c r="O900" i="4"/>
  <c r="N900" i="4"/>
  <c r="M900" i="4"/>
  <c r="D900" i="4"/>
  <c r="C900" i="4"/>
  <c r="N899" i="4"/>
  <c r="M899" i="4"/>
  <c r="O899" i="4" s="1"/>
  <c r="D899" i="4"/>
  <c r="C899" i="4"/>
  <c r="O898" i="4"/>
  <c r="N898" i="4"/>
  <c r="M898" i="4"/>
  <c r="D898" i="4"/>
  <c r="C898" i="4"/>
  <c r="O897" i="4"/>
  <c r="N897" i="4"/>
  <c r="M897" i="4"/>
  <c r="D897" i="4"/>
  <c r="C897" i="4"/>
  <c r="N896" i="4"/>
  <c r="M896" i="4"/>
  <c r="O896" i="4" s="1"/>
  <c r="D896" i="4"/>
  <c r="C896" i="4"/>
  <c r="N895" i="4"/>
  <c r="M895" i="4"/>
  <c r="O895" i="4" s="1"/>
  <c r="D895" i="4"/>
  <c r="C895" i="4"/>
  <c r="N894" i="4"/>
  <c r="O894" i="4" s="1"/>
  <c r="M894" i="4"/>
  <c r="D894" i="4"/>
  <c r="C894" i="4"/>
  <c r="N893" i="4"/>
  <c r="M893" i="4"/>
  <c r="O893" i="4" s="1"/>
  <c r="D893" i="4"/>
  <c r="C893" i="4"/>
  <c r="O892" i="4"/>
  <c r="N892" i="4"/>
  <c r="M892" i="4"/>
  <c r="D892" i="4"/>
  <c r="C892" i="4"/>
  <c r="N891" i="4"/>
  <c r="M891" i="4"/>
  <c r="O891" i="4" s="1"/>
  <c r="D891" i="4"/>
  <c r="C891" i="4"/>
  <c r="N890" i="4"/>
  <c r="M890" i="4"/>
  <c r="O890" i="4" s="1"/>
  <c r="D890" i="4"/>
  <c r="C890" i="4"/>
  <c r="O889" i="4"/>
  <c r="N889" i="4"/>
  <c r="M889" i="4"/>
  <c r="D889" i="4"/>
  <c r="C889" i="4"/>
  <c r="N888" i="4"/>
  <c r="M888" i="4"/>
  <c r="D888" i="4"/>
  <c r="C888" i="4"/>
  <c r="N887" i="4"/>
  <c r="M887" i="4"/>
  <c r="O887" i="4" s="1"/>
  <c r="D887" i="4"/>
  <c r="C887" i="4"/>
  <c r="N886" i="4"/>
  <c r="M886" i="4"/>
  <c r="O886" i="4" s="1"/>
  <c r="D886" i="4"/>
  <c r="C886" i="4"/>
  <c r="O885" i="4"/>
  <c r="N885" i="4"/>
  <c r="M885" i="4"/>
  <c r="D885" i="4"/>
  <c r="C885" i="4"/>
  <c r="N884" i="4"/>
  <c r="M884" i="4"/>
  <c r="O884" i="4" s="1"/>
  <c r="D884" i="4"/>
  <c r="C884" i="4"/>
  <c r="N883" i="4"/>
  <c r="M883" i="4"/>
  <c r="O883" i="4" s="1"/>
  <c r="D883" i="4"/>
  <c r="C883" i="4"/>
  <c r="N882" i="4"/>
  <c r="O882" i="4" s="1"/>
  <c r="M882" i="4"/>
  <c r="D882" i="4"/>
  <c r="C882" i="4"/>
  <c r="O881" i="4"/>
  <c r="N881" i="4"/>
  <c r="M881" i="4"/>
  <c r="D881" i="4"/>
  <c r="C881" i="4"/>
  <c r="O880" i="4"/>
  <c r="N880" i="4"/>
  <c r="M880" i="4"/>
  <c r="D880" i="4"/>
  <c r="C880" i="4"/>
  <c r="N879" i="4"/>
  <c r="M879" i="4"/>
  <c r="O879" i="4" s="1"/>
  <c r="D879" i="4"/>
  <c r="C879" i="4"/>
  <c r="N878" i="4"/>
  <c r="M878" i="4"/>
  <c r="O878" i="4" s="1"/>
  <c r="D878" i="4"/>
  <c r="C878" i="4"/>
  <c r="O877" i="4"/>
  <c r="N877" i="4"/>
  <c r="M877" i="4"/>
  <c r="D877" i="4"/>
  <c r="C877" i="4"/>
  <c r="N876" i="4"/>
  <c r="O876" i="4" s="1"/>
  <c r="M876" i="4"/>
  <c r="D876" i="4"/>
  <c r="C876" i="4"/>
  <c r="N875" i="4"/>
  <c r="M875" i="4"/>
  <c r="O875" i="4" s="1"/>
  <c r="D875" i="4"/>
  <c r="C875" i="4"/>
  <c r="N874" i="4"/>
  <c r="M874" i="4"/>
  <c r="O874" i="4" s="1"/>
  <c r="D874" i="4"/>
  <c r="C874" i="4"/>
  <c r="N873" i="4"/>
  <c r="O873" i="4" s="1"/>
  <c r="M873" i="4"/>
  <c r="D873" i="4"/>
  <c r="C873" i="4"/>
  <c r="N872" i="4"/>
  <c r="M872" i="4"/>
  <c r="O872" i="4" s="1"/>
  <c r="D872" i="4"/>
  <c r="C872" i="4"/>
  <c r="O871" i="4"/>
  <c r="N871" i="4"/>
  <c r="M871" i="4"/>
  <c r="D871" i="4"/>
  <c r="C871" i="4"/>
  <c r="N870" i="4"/>
  <c r="O870" i="4" s="1"/>
  <c r="M870" i="4"/>
  <c r="D870" i="4"/>
  <c r="C870" i="4"/>
  <c r="O869" i="4"/>
  <c r="N869" i="4"/>
  <c r="M869" i="4"/>
  <c r="D869" i="4"/>
  <c r="C869" i="4"/>
  <c r="O868" i="4"/>
  <c r="N868" i="4"/>
  <c r="M868" i="4"/>
  <c r="D868" i="4"/>
  <c r="C868" i="4"/>
  <c r="N867" i="4"/>
  <c r="M867" i="4"/>
  <c r="O867" i="4" s="1"/>
  <c r="D867" i="4"/>
  <c r="C867" i="4"/>
  <c r="N866" i="4"/>
  <c r="M866" i="4"/>
  <c r="O866" i="4" s="1"/>
  <c r="D866" i="4"/>
  <c r="C866" i="4"/>
  <c r="O865" i="4"/>
  <c r="N865" i="4"/>
  <c r="M865" i="4"/>
  <c r="D865" i="4"/>
  <c r="C865" i="4"/>
  <c r="N864" i="4"/>
  <c r="O864" i="4" s="1"/>
  <c r="M864" i="4"/>
  <c r="D864" i="4"/>
  <c r="C864" i="4"/>
  <c r="N863" i="4"/>
  <c r="M863" i="4"/>
  <c r="O863" i="4" s="1"/>
  <c r="D863" i="4"/>
  <c r="C863" i="4"/>
  <c r="N862" i="4"/>
  <c r="M862" i="4"/>
  <c r="O862" i="4" s="1"/>
  <c r="D862" i="4"/>
  <c r="C862" i="4"/>
  <c r="N861" i="4"/>
  <c r="O861" i="4" s="1"/>
  <c r="M861" i="4"/>
  <c r="D861" i="4"/>
  <c r="C861" i="4"/>
  <c r="N860" i="4"/>
  <c r="M860" i="4"/>
  <c r="O860" i="4" s="1"/>
  <c r="D860" i="4"/>
  <c r="C860" i="4"/>
  <c r="O859" i="4"/>
  <c r="N859" i="4"/>
  <c r="M859" i="4"/>
  <c r="D859" i="4"/>
  <c r="C859" i="4"/>
  <c r="N858" i="4"/>
  <c r="O858" i="4" s="1"/>
  <c r="M858" i="4"/>
  <c r="D858" i="4"/>
  <c r="C858" i="4"/>
  <c r="N857" i="4"/>
  <c r="M857" i="4"/>
  <c r="O857" i="4" s="1"/>
  <c r="D857" i="4"/>
  <c r="C857" i="4"/>
  <c r="O856" i="4"/>
  <c r="N856" i="4"/>
  <c r="M856" i="4"/>
  <c r="D856" i="4"/>
  <c r="C856" i="4"/>
  <c r="N855" i="4"/>
  <c r="M855" i="4"/>
  <c r="O855" i="4" s="1"/>
  <c r="D855" i="4"/>
  <c r="C855" i="4"/>
  <c r="N854" i="4"/>
  <c r="M854" i="4"/>
  <c r="O854" i="4" s="1"/>
  <c r="D854" i="4"/>
  <c r="C854" i="4"/>
  <c r="O853" i="4"/>
  <c r="N853" i="4"/>
  <c r="M853" i="4"/>
  <c r="D853" i="4"/>
  <c r="C853" i="4"/>
  <c r="N852" i="4"/>
  <c r="O852" i="4" s="1"/>
  <c r="M852" i="4"/>
  <c r="D852" i="4"/>
  <c r="C852" i="4"/>
  <c r="N851" i="4"/>
  <c r="M851" i="4"/>
  <c r="O851" i="4" s="1"/>
  <c r="D851" i="4"/>
  <c r="C851" i="4"/>
  <c r="N850" i="4"/>
  <c r="M850" i="4"/>
  <c r="D850" i="4"/>
  <c r="C850" i="4"/>
  <c r="N849" i="4"/>
  <c r="O849" i="4" s="1"/>
  <c r="M849" i="4"/>
  <c r="D849" i="4"/>
  <c r="C849" i="4"/>
  <c r="N848" i="4"/>
  <c r="M848" i="4"/>
  <c r="O848" i="4" s="1"/>
  <c r="D848" i="4"/>
  <c r="C848" i="4"/>
  <c r="N847" i="4"/>
  <c r="M847" i="4"/>
  <c r="O847" i="4" s="1"/>
  <c r="D847" i="4"/>
  <c r="C847" i="4"/>
  <c r="N846" i="4"/>
  <c r="O846" i="4" s="1"/>
  <c r="M846" i="4"/>
  <c r="D846" i="4"/>
  <c r="C846" i="4"/>
  <c r="N845" i="4"/>
  <c r="M845" i="4"/>
  <c r="O845" i="4" s="1"/>
  <c r="D845" i="4"/>
  <c r="C845" i="4"/>
  <c r="O844" i="4"/>
  <c r="N844" i="4"/>
  <c r="M844" i="4"/>
  <c r="D844" i="4"/>
  <c r="C844" i="4"/>
  <c r="N843" i="4"/>
  <c r="M843" i="4"/>
  <c r="O843" i="4" s="1"/>
  <c r="D843" i="4"/>
  <c r="C843" i="4"/>
  <c r="N842" i="4"/>
  <c r="M842" i="4"/>
  <c r="D842" i="4"/>
  <c r="C842" i="4"/>
  <c r="O841" i="4"/>
  <c r="N841" i="4"/>
  <c r="M841" i="4"/>
  <c r="D841" i="4"/>
  <c r="C841" i="4"/>
  <c r="N840" i="4"/>
  <c r="O840" i="4" s="1"/>
  <c r="M840" i="4"/>
  <c r="D840" i="4"/>
  <c r="C840" i="4"/>
  <c r="N839" i="4"/>
  <c r="M839" i="4"/>
  <c r="O839" i="4" s="1"/>
  <c r="D839" i="4"/>
  <c r="C839" i="4"/>
  <c r="N838" i="4"/>
  <c r="M838" i="4"/>
  <c r="O838" i="4" s="1"/>
  <c r="D838" i="4"/>
  <c r="C838" i="4"/>
  <c r="N837" i="4"/>
  <c r="O837" i="4" s="1"/>
  <c r="M837" i="4"/>
  <c r="D837" i="4"/>
  <c r="C837" i="4"/>
  <c r="N836" i="4"/>
  <c r="M836" i="4"/>
  <c r="O836" i="4" s="1"/>
  <c r="D836" i="4"/>
  <c r="C836" i="4"/>
  <c r="N835" i="4"/>
  <c r="M835" i="4"/>
  <c r="O835" i="4" s="1"/>
  <c r="D835" i="4"/>
  <c r="C835" i="4"/>
  <c r="N834" i="4"/>
  <c r="O834" i="4" s="1"/>
  <c r="M834" i="4"/>
  <c r="D834" i="4"/>
  <c r="C834" i="4"/>
  <c r="O833" i="4"/>
  <c r="N833" i="4"/>
  <c r="M833" i="4"/>
  <c r="D833" i="4"/>
  <c r="C833" i="4"/>
  <c r="O832" i="4"/>
  <c r="N832" i="4"/>
  <c r="M832" i="4"/>
  <c r="D832" i="4"/>
  <c r="C832" i="4"/>
  <c r="N831" i="4"/>
  <c r="M831" i="4"/>
  <c r="O831" i="4" s="1"/>
  <c r="D831" i="4"/>
  <c r="C831" i="4"/>
  <c r="N830" i="4"/>
  <c r="M830" i="4"/>
  <c r="O830" i="4" s="1"/>
  <c r="D830" i="4"/>
  <c r="C830" i="4"/>
  <c r="O829" i="4"/>
  <c r="N829" i="4"/>
  <c r="M829" i="4"/>
  <c r="D829" i="4"/>
  <c r="C829" i="4"/>
  <c r="N828" i="4"/>
  <c r="O828" i="4" s="1"/>
  <c r="M828" i="4"/>
  <c r="D828" i="4"/>
  <c r="C828" i="4"/>
  <c r="N827" i="4"/>
  <c r="M827" i="4"/>
  <c r="O827" i="4" s="1"/>
  <c r="D827" i="4"/>
  <c r="C827" i="4"/>
  <c r="N826" i="4"/>
  <c r="O826" i="4" s="1"/>
  <c r="M826" i="4"/>
  <c r="D826" i="4"/>
  <c r="C826" i="4"/>
  <c r="N825" i="4"/>
  <c r="O825" i="4" s="1"/>
  <c r="M825" i="4"/>
  <c r="D825" i="4"/>
  <c r="C825" i="4"/>
  <c r="N824" i="4"/>
  <c r="M824" i="4"/>
  <c r="O824" i="4" s="1"/>
  <c r="D824" i="4"/>
  <c r="C824" i="4"/>
  <c r="O823" i="4"/>
  <c r="N823" i="4"/>
  <c r="M823" i="4"/>
  <c r="D823" i="4"/>
  <c r="C823" i="4"/>
  <c r="N822" i="4"/>
  <c r="O822" i="4" s="1"/>
  <c r="M822" i="4"/>
  <c r="D822" i="4"/>
  <c r="C822" i="4"/>
  <c r="O821" i="4"/>
  <c r="N821" i="4"/>
  <c r="M821" i="4"/>
  <c r="D821" i="4"/>
  <c r="C821" i="4"/>
  <c r="O820" i="4"/>
  <c r="N820" i="4"/>
  <c r="M820" i="4"/>
  <c r="D820" i="4"/>
  <c r="C820" i="4"/>
  <c r="N819" i="4"/>
  <c r="M819" i="4"/>
  <c r="O819" i="4" s="1"/>
  <c r="D819" i="4"/>
  <c r="C819" i="4"/>
  <c r="N818" i="4"/>
  <c r="M818" i="4"/>
  <c r="D818" i="4"/>
  <c r="C818" i="4"/>
  <c r="O817" i="4"/>
  <c r="N817" i="4"/>
  <c r="M817" i="4"/>
  <c r="D817" i="4"/>
  <c r="C817" i="4"/>
  <c r="N816" i="4"/>
  <c r="O816" i="4" s="1"/>
  <c r="M816" i="4"/>
  <c r="D816" i="4"/>
  <c r="C816" i="4"/>
  <c r="N815" i="4"/>
  <c r="M815" i="4"/>
  <c r="O815" i="4" s="1"/>
  <c r="D815" i="4"/>
  <c r="C815" i="4"/>
  <c r="N814" i="4"/>
  <c r="O814" i="4" s="1"/>
  <c r="M814" i="4"/>
  <c r="D814" i="4"/>
  <c r="C814" i="4"/>
  <c r="N813" i="4"/>
  <c r="O813" i="4" s="1"/>
  <c r="M813" i="4"/>
  <c r="D813" i="4"/>
  <c r="C813" i="4"/>
  <c r="N812" i="4"/>
  <c r="M812" i="4"/>
  <c r="O812" i="4" s="1"/>
  <c r="D812" i="4"/>
  <c r="C812" i="4"/>
  <c r="N811" i="4"/>
  <c r="M811" i="4"/>
  <c r="O811" i="4" s="1"/>
  <c r="D811" i="4"/>
  <c r="C811" i="4"/>
  <c r="N810" i="4"/>
  <c r="O810" i="4" s="1"/>
  <c r="M810" i="4"/>
  <c r="D810" i="4"/>
  <c r="C810" i="4"/>
  <c r="N809" i="4"/>
  <c r="M809" i="4"/>
  <c r="O809" i="4" s="1"/>
  <c r="D809" i="4"/>
  <c r="C809" i="4"/>
  <c r="O808" i="4"/>
  <c r="N808" i="4"/>
  <c r="M808" i="4"/>
  <c r="D808" i="4"/>
  <c r="C808" i="4"/>
  <c r="N807" i="4"/>
  <c r="M807" i="4"/>
  <c r="O807" i="4" s="1"/>
  <c r="D807" i="4"/>
  <c r="C807" i="4"/>
  <c r="N806" i="4"/>
  <c r="M806" i="4"/>
  <c r="D806" i="4"/>
  <c r="C806" i="4"/>
  <c r="O805" i="4"/>
  <c r="N805" i="4"/>
  <c r="M805" i="4"/>
  <c r="D805" i="4"/>
  <c r="C805" i="4"/>
  <c r="N804" i="4"/>
  <c r="O804" i="4" s="1"/>
  <c r="M804" i="4"/>
  <c r="D804" i="4"/>
  <c r="C804" i="4"/>
  <c r="N803" i="4"/>
  <c r="M803" i="4"/>
  <c r="O803" i="4" s="1"/>
  <c r="D803" i="4"/>
  <c r="C803" i="4"/>
  <c r="N802" i="4"/>
  <c r="O802" i="4" s="1"/>
  <c r="M802" i="4"/>
  <c r="D802" i="4"/>
  <c r="C802" i="4"/>
  <c r="O801" i="4"/>
  <c r="N801" i="4"/>
  <c r="M801" i="4"/>
  <c r="D801" i="4"/>
  <c r="C801" i="4"/>
  <c r="N800" i="4"/>
  <c r="M800" i="4"/>
  <c r="O800" i="4" s="1"/>
  <c r="D800" i="4"/>
  <c r="C800" i="4"/>
  <c r="N799" i="4"/>
  <c r="M799" i="4"/>
  <c r="O799" i="4" s="1"/>
  <c r="D799" i="4"/>
  <c r="C799" i="4"/>
  <c r="N798" i="4"/>
  <c r="O798" i="4" s="1"/>
  <c r="M798" i="4"/>
  <c r="D798" i="4"/>
  <c r="C798" i="4"/>
  <c r="N797" i="4"/>
  <c r="M797" i="4"/>
  <c r="O797" i="4" s="1"/>
  <c r="D797" i="4"/>
  <c r="C797" i="4"/>
  <c r="O796" i="4"/>
  <c r="N796" i="4"/>
  <c r="M796" i="4"/>
  <c r="D796" i="4"/>
  <c r="C796" i="4"/>
  <c r="N795" i="4"/>
  <c r="M795" i="4"/>
  <c r="O795" i="4" s="1"/>
  <c r="D795" i="4"/>
  <c r="C795" i="4"/>
  <c r="N794" i="4"/>
  <c r="M794" i="4"/>
  <c r="D794" i="4"/>
  <c r="C794" i="4"/>
  <c r="O793" i="4"/>
  <c r="N793" i="4"/>
  <c r="M793" i="4"/>
  <c r="D793" i="4"/>
  <c r="C793" i="4"/>
  <c r="N792" i="4"/>
  <c r="O792" i="4" s="1"/>
  <c r="M792" i="4"/>
  <c r="D792" i="4"/>
  <c r="C792" i="4"/>
  <c r="N791" i="4"/>
  <c r="M791" i="4"/>
  <c r="O791" i="4" s="1"/>
  <c r="D791" i="4"/>
  <c r="C791" i="4"/>
  <c r="N790" i="4"/>
  <c r="O790" i="4" s="1"/>
  <c r="M790" i="4"/>
  <c r="D790" i="4"/>
  <c r="C790" i="4"/>
  <c r="O789" i="4"/>
  <c r="N789" i="4"/>
  <c r="M789" i="4"/>
  <c r="D789" i="4"/>
  <c r="C789" i="4"/>
  <c r="N788" i="4"/>
  <c r="M788" i="4"/>
  <c r="O788" i="4" s="1"/>
  <c r="D788" i="4"/>
  <c r="C788" i="4"/>
  <c r="N787" i="4"/>
  <c r="M787" i="4"/>
  <c r="O787" i="4" s="1"/>
  <c r="D787" i="4"/>
  <c r="C787" i="4"/>
  <c r="N786" i="4"/>
  <c r="O786" i="4" s="1"/>
  <c r="M786" i="4"/>
  <c r="D786" i="4"/>
  <c r="C786" i="4"/>
  <c r="O785" i="4"/>
  <c r="N785" i="4"/>
  <c r="M785" i="4"/>
  <c r="D785" i="4"/>
  <c r="C785" i="4"/>
  <c r="O784" i="4"/>
  <c r="N784" i="4"/>
  <c r="M784" i="4"/>
  <c r="D784" i="4"/>
  <c r="C784" i="4"/>
  <c r="N783" i="4"/>
  <c r="M783" i="4"/>
  <c r="O783" i="4" s="1"/>
  <c r="D783" i="4"/>
  <c r="C783" i="4"/>
  <c r="N782" i="4"/>
  <c r="M782" i="4"/>
  <c r="D782" i="4"/>
  <c r="C782" i="4"/>
  <c r="O781" i="4"/>
  <c r="N781" i="4"/>
  <c r="M781" i="4"/>
  <c r="D781" i="4"/>
  <c r="C781" i="4"/>
  <c r="N780" i="4"/>
  <c r="O780" i="4" s="1"/>
  <c r="M780" i="4"/>
  <c r="D780" i="4"/>
  <c r="C780" i="4"/>
  <c r="N779" i="4"/>
  <c r="M779" i="4"/>
  <c r="O779" i="4" s="1"/>
  <c r="D779" i="4"/>
  <c r="C779" i="4"/>
  <c r="N778" i="4"/>
  <c r="O778" i="4" s="1"/>
  <c r="M778" i="4"/>
  <c r="D778" i="4"/>
  <c r="C778" i="4"/>
  <c r="O777" i="4"/>
  <c r="N777" i="4"/>
  <c r="M777" i="4"/>
  <c r="D777" i="4"/>
  <c r="C777" i="4"/>
  <c r="N776" i="4"/>
  <c r="M776" i="4"/>
  <c r="O776" i="4" s="1"/>
  <c r="D776" i="4"/>
  <c r="C776" i="4"/>
  <c r="O775" i="4"/>
  <c r="N775" i="4"/>
  <c r="M775" i="4"/>
  <c r="D775" i="4"/>
  <c r="C775" i="4"/>
  <c r="N774" i="4"/>
  <c r="O774" i="4" s="1"/>
  <c r="M774" i="4"/>
  <c r="D774" i="4"/>
  <c r="C774" i="4"/>
  <c r="N773" i="4"/>
  <c r="M773" i="4"/>
  <c r="O773" i="4" s="1"/>
  <c r="D773" i="4"/>
  <c r="C773" i="4"/>
  <c r="O772" i="4"/>
  <c r="N772" i="4"/>
  <c r="M772" i="4"/>
  <c r="D772" i="4"/>
  <c r="C772" i="4"/>
  <c r="N771" i="4"/>
  <c r="M771" i="4"/>
  <c r="O771" i="4" s="1"/>
  <c r="D771" i="4"/>
  <c r="C771" i="4"/>
  <c r="N770" i="4"/>
  <c r="M770" i="4"/>
  <c r="O770" i="4" s="1"/>
  <c r="D770" i="4"/>
  <c r="C770" i="4"/>
  <c r="O769" i="4"/>
  <c r="N769" i="4"/>
  <c r="M769" i="4"/>
  <c r="D769" i="4"/>
  <c r="C769" i="4"/>
  <c r="N768" i="4"/>
  <c r="M768" i="4"/>
  <c r="D768" i="4"/>
  <c r="C768" i="4"/>
  <c r="N767" i="4"/>
  <c r="M767" i="4"/>
  <c r="O767" i="4" s="1"/>
  <c r="D767" i="4"/>
  <c r="C767" i="4"/>
  <c r="N766" i="4"/>
  <c r="O766" i="4" s="1"/>
  <c r="M766" i="4"/>
  <c r="D766" i="4"/>
  <c r="C766" i="4"/>
  <c r="O765" i="4"/>
  <c r="N765" i="4"/>
  <c r="M765" i="4"/>
  <c r="D765" i="4"/>
  <c r="C765" i="4"/>
  <c r="N764" i="4"/>
  <c r="M764" i="4"/>
  <c r="O764" i="4" s="1"/>
  <c r="D764" i="4"/>
  <c r="C764" i="4"/>
  <c r="O763" i="4"/>
  <c r="N763" i="4"/>
  <c r="M763" i="4"/>
  <c r="D763" i="4"/>
  <c r="C763" i="4"/>
  <c r="N762" i="4"/>
  <c r="O762" i="4" s="1"/>
  <c r="M762" i="4"/>
  <c r="D762" i="4"/>
  <c r="C762" i="4"/>
  <c r="N761" i="4"/>
  <c r="M761" i="4"/>
  <c r="O761" i="4" s="1"/>
  <c r="D761" i="4"/>
  <c r="C761" i="4"/>
  <c r="O760" i="4"/>
  <c r="N760" i="4"/>
  <c r="M760" i="4"/>
  <c r="D760" i="4"/>
  <c r="C760" i="4"/>
  <c r="N759" i="4"/>
  <c r="M759" i="4"/>
  <c r="O759" i="4" s="1"/>
  <c r="D759" i="4"/>
  <c r="C759" i="4"/>
  <c r="N758" i="4"/>
  <c r="M758" i="4"/>
  <c r="O758" i="4" s="1"/>
  <c r="D758" i="4"/>
  <c r="C758" i="4"/>
  <c r="O757" i="4"/>
  <c r="N757" i="4"/>
  <c r="M757" i="4"/>
  <c r="D757" i="4"/>
  <c r="C757" i="4"/>
  <c r="N756" i="4"/>
  <c r="M756" i="4"/>
  <c r="D756" i="4"/>
  <c r="C756" i="4"/>
  <c r="N755" i="4"/>
  <c r="M755" i="4"/>
  <c r="O755" i="4" s="1"/>
  <c r="D755" i="4"/>
  <c r="C755" i="4"/>
  <c r="N754" i="4"/>
  <c r="O754" i="4" s="1"/>
  <c r="M754" i="4"/>
  <c r="D754" i="4"/>
  <c r="C754" i="4"/>
  <c r="O753" i="4"/>
  <c r="N753" i="4"/>
  <c r="M753" i="4"/>
  <c r="D753" i="4"/>
  <c r="C753" i="4"/>
  <c r="N752" i="4"/>
  <c r="M752" i="4"/>
  <c r="O752" i="4" s="1"/>
  <c r="D752" i="4"/>
  <c r="C752" i="4"/>
  <c r="N751" i="4"/>
  <c r="M751" i="4"/>
  <c r="O751" i="4" s="1"/>
  <c r="D751" i="4"/>
  <c r="C751" i="4"/>
  <c r="N750" i="4"/>
  <c r="O750" i="4" s="1"/>
  <c r="M750" i="4"/>
  <c r="D750" i="4"/>
  <c r="C750" i="4"/>
  <c r="N749" i="4"/>
  <c r="M749" i="4"/>
  <c r="O749" i="4" s="1"/>
  <c r="D749" i="4"/>
  <c r="C749" i="4"/>
  <c r="O748" i="4"/>
  <c r="N748" i="4"/>
  <c r="M748" i="4"/>
  <c r="D748" i="4"/>
  <c r="C748" i="4"/>
  <c r="N747" i="4"/>
  <c r="M747" i="4"/>
  <c r="O747" i="4" s="1"/>
  <c r="D747" i="4"/>
  <c r="C747" i="4"/>
  <c r="N746" i="4"/>
  <c r="M746" i="4"/>
  <c r="O746" i="4" s="1"/>
  <c r="D746" i="4"/>
  <c r="C746" i="4"/>
  <c r="O745" i="4"/>
  <c r="N745" i="4"/>
  <c r="M745" i="4"/>
  <c r="D745" i="4"/>
  <c r="C745" i="4"/>
  <c r="N744" i="4"/>
  <c r="M744" i="4"/>
  <c r="D744" i="4"/>
  <c r="C744" i="4"/>
  <c r="N743" i="4"/>
  <c r="M743" i="4"/>
  <c r="O743" i="4" s="1"/>
  <c r="D743" i="4"/>
  <c r="C743" i="4"/>
  <c r="N742" i="4"/>
  <c r="O742" i="4" s="1"/>
  <c r="M742" i="4"/>
  <c r="D742" i="4"/>
  <c r="C742" i="4"/>
  <c r="O741" i="4"/>
  <c r="N741" i="4"/>
  <c r="M741" i="4"/>
  <c r="D741" i="4"/>
  <c r="C741" i="4"/>
  <c r="N740" i="4"/>
  <c r="M740" i="4"/>
  <c r="O740" i="4" s="1"/>
  <c r="D740" i="4"/>
  <c r="C740" i="4"/>
  <c r="N739" i="4"/>
  <c r="M739" i="4"/>
  <c r="O739" i="4" s="1"/>
  <c r="D739" i="4"/>
  <c r="C739" i="4"/>
  <c r="N738" i="4"/>
  <c r="O738" i="4" s="1"/>
  <c r="M738" i="4"/>
  <c r="D738" i="4"/>
  <c r="C738" i="4"/>
  <c r="O737" i="4"/>
  <c r="N737" i="4"/>
  <c r="M737" i="4"/>
  <c r="D737" i="4"/>
  <c r="C737" i="4"/>
  <c r="O736" i="4"/>
  <c r="N736" i="4"/>
  <c r="M736" i="4"/>
  <c r="D736" i="4"/>
  <c r="C736" i="4"/>
  <c r="N735" i="4"/>
  <c r="M735" i="4"/>
  <c r="O735" i="4" s="1"/>
  <c r="D735" i="4"/>
  <c r="C735" i="4"/>
  <c r="N734" i="4"/>
  <c r="M734" i="4"/>
  <c r="O734" i="4" s="1"/>
  <c r="D734" i="4"/>
  <c r="C734" i="4"/>
  <c r="O733" i="4"/>
  <c r="N733" i="4"/>
  <c r="M733" i="4"/>
  <c r="D733" i="4"/>
  <c r="C733" i="4"/>
  <c r="N732" i="4"/>
  <c r="M732" i="4"/>
  <c r="O732" i="4" s="1"/>
  <c r="D732" i="4"/>
  <c r="C732" i="4"/>
  <c r="N731" i="4"/>
  <c r="M731" i="4"/>
  <c r="O731" i="4" s="1"/>
  <c r="D731" i="4"/>
  <c r="C731" i="4"/>
  <c r="N730" i="4"/>
  <c r="O730" i="4" s="1"/>
  <c r="M730" i="4"/>
  <c r="D730" i="4"/>
  <c r="C730" i="4"/>
  <c r="N729" i="4"/>
  <c r="O729" i="4" s="1"/>
  <c r="M729" i="4"/>
  <c r="D729" i="4"/>
  <c r="C729" i="4"/>
  <c r="N728" i="4"/>
  <c r="M728" i="4"/>
  <c r="O728" i="4" s="1"/>
  <c r="D728" i="4"/>
  <c r="C728" i="4"/>
  <c r="O727" i="4"/>
  <c r="N727" i="4"/>
  <c r="M727" i="4"/>
  <c r="D727" i="4"/>
  <c r="C727" i="4"/>
  <c r="N726" i="4"/>
  <c r="O726" i="4" s="1"/>
  <c r="M726" i="4"/>
  <c r="D726" i="4"/>
  <c r="C726" i="4"/>
  <c r="O725" i="4"/>
  <c r="N725" i="4"/>
  <c r="M725" i="4"/>
  <c r="D725" i="4"/>
  <c r="C725" i="4"/>
  <c r="O724" i="4"/>
  <c r="N724" i="4"/>
  <c r="M724" i="4"/>
  <c r="D724" i="4"/>
  <c r="C724" i="4"/>
  <c r="N723" i="4"/>
  <c r="M723" i="4"/>
  <c r="O723" i="4" s="1"/>
  <c r="D723" i="4"/>
  <c r="C723" i="4"/>
  <c r="N722" i="4"/>
  <c r="M722" i="4"/>
  <c r="O722" i="4" s="1"/>
  <c r="D722" i="4"/>
  <c r="C722" i="4"/>
  <c r="O721" i="4"/>
  <c r="N721" i="4"/>
  <c r="M721" i="4"/>
  <c r="D721" i="4"/>
  <c r="C721" i="4"/>
  <c r="N720" i="4"/>
  <c r="M720" i="4"/>
  <c r="O720" i="4" s="1"/>
  <c r="D720" i="4"/>
  <c r="C720" i="4"/>
  <c r="N719" i="4"/>
  <c r="M719" i="4"/>
  <c r="O719" i="4" s="1"/>
  <c r="D719" i="4"/>
  <c r="C719" i="4"/>
  <c r="N718" i="4"/>
  <c r="O718" i="4" s="1"/>
  <c r="M718" i="4"/>
  <c r="D718" i="4"/>
  <c r="C718" i="4"/>
  <c r="N717" i="4"/>
  <c r="O717" i="4" s="1"/>
  <c r="M717" i="4"/>
  <c r="D717" i="4"/>
  <c r="C717" i="4"/>
  <c r="N716" i="4"/>
  <c r="M716" i="4"/>
  <c r="O716" i="4" s="1"/>
  <c r="D716" i="4"/>
  <c r="C716" i="4"/>
  <c r="O715" i="4"/>
  <c r="N715" i="4"/>
  <c r="M715" i="4"/>
  <c r="D715" i="4"/>
  <c r="C715" i="4"/>
  <c r="N714" i="4"/>
  <c r="O714" i="4" s="1"/>
  <c r="M714" i="4"/>
  <c r="D714" i="4"/>
  <c r="C714" i="4"/>
  <c r="N713" i="4"/>
  <c r="M713" i="4"/>
  <c r="O713" i="4" s="1"/>
  <c r="D713" i="4"/>
  <c r="C713" i="4"/>
  <c r="O712" i="4"/>
  <c r="N712" i="4"/>
  <c r="M712" i="4"/>
  <c r="D712" i="4"/>
  <c r="C712" i="4"/>
  <c r="N711" i="4"/>
  <c r="M711" i="4"/>
  <c r="O711" i="4" s="1"/>
  <c r="D711" i="4"/>
  <c r="C711" i="4"/>
  <c r="N710" i="4"/>
  <c r="M710" i="4"/>
  <c r="O710" i="4" s="1"/>
  <c r="D710" i="4"/>
  <c r="C710" i="4"/>
  <c r="O709" i="4"/>
  <c r="N709" i="4"/>
  <c r="M709" i="4"/>
  <c r="D709" i="4"/>
  <c r="C709" i="4"/>
  <c r="N708" i="4"/>
  <c r="M708" i="4"/>
  <c r="O708" i="4" s="1"/>
  <c r="D708" i="4"/>
  <c r="C708" i="4"/>
  <c r="N707" i="4"/>
  <c r="M707" i="4"/>
  <c r="O707" i="4" s="1"/>
  <c r="D707" i="4"/>
  <c r="C707" i="4"/>
  <c r="N706" i="4"/>
  <c r="O706" i="4" s="1"/>
  <c r="M706" i="4"/>
  <c r="D706" i="4"/>
  <c r="C706" i="4"/>
  <c r="N705" i="4"/>
  <c r="O705" i="4" s="1"/>
  <c r="M705" i="4"/>
  <c r="D705" i="4"/>
  <c r="C705" i="4"/>
  <c r="N704" i="4"/>
  <c r="M704" i="4"/>
  <c r="O704" i="4" s="1"/>
  <c r="D704" i="4"/>
  <c r="C704" i="4"/>
  <c r="N703" i="4"/>
  <c r="M703" i="4"/>
  <c r="O703" i="4" s="1"/>
  <c r="D703" i="4"/>
  <c r="C703" i="4"/>
  <c r="N702" i="4"/>
  <c r="O702" i="4" s="1"/>
  <c r="M702" i="4"/>
  <c r="D702" i="4"/>
  <c r="C702" i="4"/>
  <c r="N701" i="4"/>
  <c r="M701" i="4"/>
  <c r="O701" i="4" s="1"/>
  <c r="D701" i="4"/>
  <c r="C701" i="4"/>
  <c r="O700" i="4"/>
  <c r="N700" i="4"/>
  <c r="M700" i="4"/>
  <c r="D700" i="4"/>
  <c r="C700" i="4"/>
  <c r="N699" i="4"/>
  <c r="M699" i="4"/>
  <c r="O699" i="4" s="1"/>
  <c r="D699" i="4"/>
  <c r="C699" i="4"/>
  <c r="N698" i="4"/>
  <c r="M698" i="4"/>
  <c r="D698" i="4"/>
  <c r="C698" i="4"/>
  <c r="O697" i="4"/>
  <c r="N697" i="4"/>
  <c r="M697" i="4"/>
  <c r="D697" i="4"/>
  <c r="C697" i="4"/>
  <c r="N696" i="4"/>
  <c r="M696" i="4"/>
  <c r="O696" i="4" s="1"/>
  <c r="D696" i="4"/>
  <c r="C696" i="4"/>
  <c r="N695" i="4"/>
  <c r="M695" i="4"/>
  <c r="O695" i="4" s="1"/>
  <c r="D695" i="4"/>
  <c r="C695" i="4"/>
  <c r="N694" i="4"/>
  <c r="O694" i="4" s="1"/>
  <c r="M694" i="4"/>
  <c r="D694" i="4"/>
  <c r="C694" i="4"/>
  <c r="N693" i="4"/>
  <c r="O693" i="4" s="1"/>
  <c r="M693" i="4"/>
  <c r="D693" i="4"/>
  <c r="C693" i="4"/>
  <c r="N692" i="4"/>
  <c r="M692" i="4"/>
  <c r="O692" i="4" s="1"/>
  <c r="D692" i="4"/>
  <c r="C692" i="4"/>
  <c r="N691" i="4"/>
  <c r="M691" i="4"/>
  <c r="O691" i="4" s="1"/>
  <c r="D691" i="4"/>
  <c r="C691" i="4"/>
  <c r="N690" i="4"/>
  <c r="O690" i="4" s="1"/>
  <c r="M690" i="4"/>
  <c r="D690" i="4"/>
  <c r="C690" i="4"/>
  <c r="O689" i="4"/>
  <c r="N689" i="4"/>
  <c r="M689" i="4"/>
  <c r="D689" i="4"/>
  <c r="C689" i="4"/>
  <c r="O688" i="4"/>
  <c r="N688" i="4"/>
  <c r="M688" i="4"/>
  <c r="D688" i="4"/>
  <c r="C688" i="4"/>
  <c r="N687" i="4"/>
  <c r="M687" i="4"/>
  <c r="O687" i="4" s="1"/>
  <c r="D687" i="4"/>
  <c r="C687" i="4"/>
  <c r="N686" i="4"/>
  <c r="M686" i="4"/>
  <c r="D686" i="4"/>
  <c r="C686" i="4"/>
  <c r="O685" i="4"/>
  <c r="N685" i="4"/>
  <c r="M685" i="4"/>
  <c r="D685" i="4"/>
  <c r="C685" i="4"/>
  <c r="N684" i="4"/>
  <c r="M684" i="4"/>
  <c r="O684" i="4" s="1"/>
  <c r="D684" i="4"/>
  <c r="C684" i="4"/>
  <c r="N683" i="4"/>
  <c r="M683" i="4"/>
  <c r="O683" i="4" s="1"/>
  <c r="D683" i="4"/>
  <c r="C683" i="4"/>
  <c r="N682" i="4"/>
  <c r="O682" i="4" s="1"/>
  <c r="M682" i="4"/>
  <c r="D682" i="4"/>
  <c r="C682" i="4"/>
  <c r="N681" i="4"/>
  <c r="O681" i="4" s="1"/>
  <c r="M681" i="4"/>
  <c r="D681" i="4"/>
  <c r="C681" i="4"/>
  <c r="N680" i="4"/>
  <c r="M680" i="4"/>
  <c r="O680" i="4" s="1"/>
  <c r="D680" i="4"/>
  <c r="C680" i="4"/>
  <c r="O679" i="4"/>
  <c r="N679" i="4"/>
  <c r="M679" i="4"/>
  <c r="D679" i="4"/>
  <c r="C679" i="4"/>
  <c r="N678" i="4"/>
  <c r="O678" i="4" s="1"/>
  <c r="M678" i="4"/>
  <c r="D678" i="4"/>
  <c r="C678" i="4"/>
  <c r="O677" i="4"/>
  <c r="N677" i="4"/>
  <c r="M677" i="4"/>
  <c r="D677" i="4"/>
  <c r="C677" i="4"/>
  <c r="O676" i="4"/>
  <c r="N676" i="4"/>
  <c r="M676" i="4"/>
  <c r="D676" i="4"/>
  <c r="C676" i="4"/>
  <c r="N675" i="4"/>
  <c r="M675" i="4"/>
  <c r="O675" i="4" s="1"/>
  <c r="D675" i="4"/>
  <c r="C675" i="4"/>
  <c r="N674" i="4"/>
  <c r="M674" i="4"/>
  <c r="D674" i="4"/>
  <c r="C674" i="4"/>
  <c r="O673" i="4"/>
  <c r="N673" i="4"/>
  <c r="M673" i="4"/>
  <c r="D673" i="4"/>
  <c r="C673" i="4"/>
  <c r="N672" i="4"/>
  <c r="M672" i="4"/>
  <c r="O672" i="4" s="1"/>
  <c r="D672" i="4"/>
  <c r="C672" i="4"/>
  <c r="N671" i="4"/>
  <c r="M671" i="4"/>
  <c r="O671" i="4" s="1"/>
  <c r="D671" i="4"/>
  <c r="C671" i="4"/>
  <c r="N670" i="4"/>
  <c r="O670" i="4" s="1"/>
  <c r="M670" i="4"/>
  <c r="D670" i="4"/>
  <c r="C670" i="4"/>
  <c r="N669" i="4"/>
  <c r="O669" i="4" s="1"/>
  <c r="M669" i="4"/>
  <c r="D669" i="4"/>
  <c r="C669" i="4"/>
  <c r="N668" i="4"/>
  <c r="M668" i="4"/>
  <c r="O668" i="4" s="1"/>
  <c r="D668" i="4"/>
  <c r="C668" i="4"/>
  <c r="N667" i="4"/>
  <c r="M667" i="4"/>
  <c r="O667" i="4" s="1"/>
  <c r="D667" i="4"/>
  <c r="C667" i="4"/>
  <c r="N666" i="4"/>
  <c r="O666" i="4" s="1"/>
  <c r="M666" i="4"/>
  <c r="D666" i="4"/>
  <c r="C666" i="4"/>
  <c r="N665" i="4"/>
  <c r="M665" i="4"/>
  <c r="O665" i="4" s="1"/>
  <c r="D665" i="4"/>
  <c r="C665" i="4"/>
  <c r="O664" i="4"/>
  <c r="N664" i="4"/>
  <c r="M664" i="4"/>
  <c r="D664" i="4"/>
  <c r="C664" i="4"/>
  <c r="N663" i="4"/>
  <c r="M663" i="4"/>
  <c r="O663" i="4" s="1"/>
  <c r="D663" i="4"/>
  <c r="C663" i="4"/>
  <c r="N662" i="4"/>
  <c r="M662" i="4"/>
  <c r="D662" i="4"/>
  <c r="C662" i="4"/>
  <c r="O661" i="4"/>
  <c r="N661" i="4"/>
  <c r="M661" i="4"/>
  <c r="D661" i="4"/>
  <c r="C661" i="4"/>
  <c r="N660" i="4"/>
  <c r="M660" i="4"/>
  <c r="D660" i="4"/>
  <c r="C660" i="4"/>
  <c r="N659" i="4"/>
  <c r="M659" i="4"/>
  <c r="O659" i="4" s="1"/>
  <c r="D659" i="4"/>
  <c r="C659" i="4"/>
  <c r="N658" i="4"/>
  <c r="O658" i="4" s="1"/>
  <c r="M658" i="4"/>
  <c r="D658" i="4"/>
  <c r="C658" i="4"/>
  <c r="O657" i="4"/>
  <c r="N657" i="4"/>
  <c r="M657" i="4"/>
  <c r="D657" i="4"/>
  <c r="C657" i="4"/>
  <c r="N656" i="4"/>
  <c r="M656" i="4"/>
  <c r="O656" i="4" s="1"/>
  <c r="D656" i="4"/>
  <c r="C656" i="4"/>
  <c r="N655" i="4"/>
  <c r="M655" i="4"/>
  <c r="O655" i="4" s="1"/>
  <c r="D655" i="4"/>
  <c r="C655" i="4"/>
  <c r="N654" i="4"/>
  <c r="O654" i="4" s="1"/>
  <c r="M654" i="4"/>
  <c r="D654" i="4"/>
  <c r="C654" i="4"/>
  <c r="N653" i="4"/>
  <c r="M653" i="4"/>
  <c r="O653" i="4" s="1"/>
  <c r="D653" i="4"/>
  <c r="C653" i="4"/>
  <c r="O652" i="4"/>
  <c r="N652" i="4"/>
  <c r="M652" i="4"/>
  <c r="D652" i="4"/>
  <c r="C652" i="4"/>
  <c r="N651" i="4"/>
  <c r="M651" i="4"/>
  <c r="O651" i="4" s="1"/>
  <c r="D651" i="4"/>
  <c r="C651" i="4"/>
  <c r="N650" i="4"/>
  <c r="M650" i="4"/>
  <c r="D650" i="4"/>
  <c r="C650" i="4"/>
  <c r="O649" i="4"/>
  <c r="N649" i="4"/>
  <c r="M649" i="4"/>
  <c r="D649" i="4"/>
  <c r="C649" i="4"/>
  <c r="N648" i="4"/>
  <c r="M648" i="4"/>
  <c r="D648" i="4"/>
  <c r="C648" i="4"/>
  <c r="N647" i="4"/>
  <c r="M647" i="4"/>
  <c r="O647" i="4" s="1"/>
  <c r="D647" i="4"/>
  <c r="C647" i="4"/>
  <c r="N646" i="4"/>
  <c r="O646" i="4" s="1"/>
  <c r="M646" i="4"/>
  <c r="D646" i="4"/>
  <c r="C646" i="4"/>
  <c r="O645" i="4"/>
  <c r="N645" i="4"/>
  <c r="M645" i="4"/>
  <c r="D645" i="4"/>
  <c r="C645" i="4"/>
  <c r="N644" i="4"/>
  <c r="M644" i="4"/>
  <c r="O644" i="4" s="1"/>
  <c r="D644" i="4"/>
  <c r="C644" i="4"/>
  <c r="N643" i="4"/>
  <c r="M643" i="4"/>
  <c r="O643" i="4" s="1"/>
  <c r="D643" i="4"/>
  <c r="C643" i="4"/>
  <c r="N642" i="4"/>
  <c r="O642" i="4" s="1"/>
  <c r="M642" i="4"/>
  <c r="D642" i="4"/>
  <c r="C642" i="4"/>
  <c r="O641" i="4"/>
  <c r="N641" i="4"/>
  <c r="M641" i="4"/>
  <c r="D641" i="4"/>
  <c r="C641" i="4"/>
  <c r="O640" i="4"/>
  <c r="N640" i="4"/>
  <c r="M640" i="4"/>
  <c r="D640" i="4"/>
  <c r="C640" i="4"/>
  <c r="N639" i="4"/>
  <c r="M639" i="4"/>
  <c r="O639" i="4" s="1"/>
  <c r="D639" i="4"/>
  <c r="C639" i="4"/>
  <c r="N638" i="4"/>
  <c r="M638" i="4"/>
  <c r="D638" i="4"/>
  <c r="C638" i="4"/>
  <c r="O637" i="4"/>
  <c r="N637" i="4"/>
  <c r="M637" i="4"/>
  <c r="D637" i="4"/>
  <c r="C637" i="4"/>
  <c r="N636" i="4"/>
  <c r="M636" i="4"/>
  <c r="D636" i="4"/>
  <c r="C636" i="4"/>
  <c r="N635" i="4"/>
  <c r="M635" i="4"/>
  <c r="O635" i="4" s="1"/>
  <c r="D635" i="4"/>
  <c r="C635" i="4"/>
  <c r="N634" i="4"/>
  <c r="O634" i="4" s="1"/>
  <c r="M634" i="4"/>
  <c r="D634" i="4"/>
  <c r="C634" i="4"/>
  <c r="O633" i="4"/>
  <c r="N633" i="4"/>
  <c r="M633" i="4"/>
  <c r="D633" i="4"/>
  <c r="C633" i="4"/>
  <c r="N632" i="4"/>
  <c r="M632" i="4"/>
  <c r="O632" i="4" s="1"/>
  <c r="D632" i="4"/>
  <c r="C632" i="4"/>
  <c r="O631" i="4"/>
  <c r="N631" i="4"/>
  <c r="M631" i="4"/>
  <c r="D631" i="4"/>
  <c r="C631" i="4"/>
  <c r="N630" i="4"/>
  <c r="O630" i="4" s="1"/>
  <c r="M630" i="4"/>
  <c r="D630" i="4"/>
  <c r="C630" i="4"/>
  <c r="N629" i="4"/>
  <c r="M629" i="4"/>
  <c r="O629" i="4" s="1"/>
  <c r="D629" i="4"/>
  <c r="C629" i="4"/>
  <c r="O628" i="4"/>
  <c r="N628" i="4"/>
  <c r="M628" i="4"/>
  <c r="D628" i="4"/>
  <c r="C628" i="4"/>
  <c r="N627" i="4"/>
  <c r="M627" i="4"/>
  <c r="O627" i="4" s="1"/>
  <c r="D627" i="4"/>
  <c r="C627" i="4"/>
  <c r="N626" i="4"/>
  <c r="M626" i="4"/>
  <c r="O626" i="4" s="1"/>
  <c r="D626" i="4"/>
  <c r="C626" i="4"/>
  <c r="O625" i="4"/>
  <c r="N625" i="4"/>
  <c r="M625" i="4"/>
  <c r="D625" i="4"/>
  <c r="C625" i="4"/>
  <c r="N624" i="4"/>
  <c r="M624" i="4"/>
  <c r="D624" i="4"/>
  <c r="C624" i="4"/>
  <c r="N623" i="4"/>
  <c r="M623" i="4"/>
  <c r="O623" i="4" s="1"/>
  <c r="D623" i="4"/>
  <c r="C623" i="4"/>
  <c r="N622" i="4"/>
  <c r="O622" i="4" s="1"/>
  <c r="M622" i="4"/>
  <c r="D622" i="4"/>
  <c r="C622" i="4"/>
  <c r="O621" i="4"/>
  <c r="N621" i="4"/>
  <c r="M621" i="4"/>
  <c r="D621" i="4"/>
  <c r="C621" i="4"/>
  <c r="N620" i="4"/>
  <c r="M620" i="4"/>
  <c r="O620" i="4" s="1"/>
  <c r="D620" i="4"/>
  <c r="C620" i="4"/>
  <c r="O619" i="4"/>
  <c r="N619" i="4"/>
  <c r="M619" i="4"/>
  <c r="D619" i="4"/>
  <c r="C619" i="4"/>
  <c r="N618" i="4"/>
  <c r="O618" i="4" s="1"/>
  <c r="M618" i="4"/>
  <c r="D618" i="4"/>
  <c r="C618" i="4"/>
  <c r="O617" i="4"/>
  <c r="N617" i="4"/>
  <c r="M617" i="4"/>
  <c r="D617" i="4"/>
  <c r="C617" i="4"/>
  <c r="O616" i="4"/>
  <c r="N616" i="4"/>
  <c r="M616" i="4"/>
  <c r="D616" i="4"/>
  <c r="C616" i="4"/>
  <c r="N615" i="4"/>
  <c r="M615" i="4"/>
  <c r="O615" i="4" s="1"/>
  <c r="D615" i="4"/>
  <c r="C615" i="4"/>
  <c r="N614" i="4"/>
  <c r="M614" i="4"/>
  <c r="O614" i="4" s="1"/>
  <c r="D614" i="4"/>
  <c r="C614" i="4"/>
  <c r="O613" i="4"/>
  <c r="N613" i="4"/>
  <c r="M613" i="4"/>
  <c r="D613" i="4"/>
  <c r="C613" i="4"/>
  <c r="N612" i="4"/>
  <c r="M612" i="4"/>
  <c r="D612" i="4"/>
  <c r="C612" i="4"/>
  <c r="N611" i="4"/>
  <c r="M611" i="4"/>
  <c r="O611" i="4" s="1"/>
  <c r="D611" i="4"/>
  <c r="C611" i="4"/>
  <c r="N610" i="4"/>
  <c r="O610" i="4" s="1"/>
  <c r="M610" i="4"/>
  <c r="D610" i="4"/>
  <c r="C610" i="4"/>
  <c r="O609" i="4"/>
  <c r="N609" i="4"/>
  <c r="M609" i="4"/>
  <c r="D609" i="4"/>
  <c r="C609" i="4"/>
  <c r="N608" i="4"/>
  <c r="M608" i="4"/>
  <c r="O608" i="4" s="1"/>
  <c r="D608" i="4"/>
  <c r="C608" i="4"/>
  <c r="N607" i="4"/>
  <c r="M607" i="4"/>
  <c r="O607" i="4" s="1"/>
  <c r="D607" i="4"/>
  <c r="C607" i="4"/>
  <c r="N606" i="4"/>
  <c r="O606" i="4" s="1"/>
  <c r="M606" i="4"/>
  <c r="D606" i="4"/>
  <c r="C606" i="4"/>
  <c r="N605" i="4"/>
  <c r="M605" i="4"/>
  <c r="O605" i="4" s="1"/>
  <c r="D605" i="4"/>
  <c r="C605" i="4"/>
  <c r="O604" i="4"/>
  <c r="N604" i="4"/>
  <c r="M604" i="4"/>
  <c r="D604" i="4"/>
  <c r="C604" i="4"/>
  <c r="N603" i="4"/>
  <c r="M603" i="4"/>
  <c r="O603" i="4" s="1"/>
  <c r="D603" i="4"/>
  <c r="C603" i="4"/>
  <c r="N602" i="4"/>
  <c r="M602" i="4"/>
  <c r="O602" i="4" s="1"/>
  <c r="D602" i="4"/>
  <c r="C602" i="4"/>
  <c r="O601" i="4"/>
  <c r="N601" i="4"/>
  <c r="M601" i="4"/>
  <c r="D601" i="4"/>
  <c r="C601" i="4"/>
  <c r="N600" i="4"/>
  <c r="M600" i="4"/>
  <c r="D600" i="4"/>
  <c r="C600" i="4"/>
  <c r="N599" i="4"/>
  <c r="M599" i="4"/>
  <c r="O599" i="4" s="1"/>
  <c r="D599" i="4"/>
  <c r="C599" i="4"/>
  <c r="N598" i="4"/>
  <c r="O598" i="4" s="1"/>
  <c r="M598" i="4"/>
  <c r="D598" i="4"/>
  <c r="C598" i="4"/>
  <c r="O597" i="4"/>
  <c r="N597" i="4"/>
  <c r="M597" i="4"/>
  <c r="D597" i="4"/>
  <c r="C597" i="4"/>
  <c r="N596" i="4"/>
  <c r="M596" i="4"/>
  <c r="O596" i="4" s="1"/>
  <c r="D596" i="4"/>
  <c r="C596" i="4"/>
  <c r="N595" i="4"/>
  <c r="M595" i="4"/>
  <c r="O595" i="4" s="1"/>
  <c r="D595" i="4"/>
  <c r="C595" i="4"/>
  <c r="N594" i="4"/>
  <c r="O594" i="4" s="1"/>
  <c r="M594" i="4"/>
  <c r="D594" i="4"/>
  <c r="C594" i="4"/>
  <c r="O593" i="4"/>
  <c r="N593" i="4"/>
  <c r="M593" i="4"/>
  <c r="D593" i="4"/>
  <c r="C593" i="4"/>
  <c r="O592" i="4"/>
  <c r="N592" i="4"/>
  <c r="M592" i="4"/>
  <c r="D592" i="4"/>
  <c r="C592" i="4"/>
  <c r="N591" i="4"/>
  <c r="M591" i="4"/>
  <c r="O591" i="4" s="1"/>
  <c r="D591" i="4"/>
  <c r="C591" i="4"/>
  <c r="N590" i="4"/>
  <c r="M590" i="4"/>
  <c r="O590" i="4" s="1"/>
  <c r="D590" i="4"/>
  <c r="C590" i="4"/>
  <c r="O589" i="4"/>
  <c r="N589" i="4"/>
  <c r="M589" i="4"/>
  <c r="D589" i="4"/>
  <c r="C589" i="4"/>
  <c r="N588" i="4"/>
  <c r="M588" i="4"/>
  <c r="O588" i="4" s="1"/>
  <c r="D588" i="4"/>
  <c r="C588" i="4"/>
  <c r="N587" i="4"/>
  <c r="M587" i="4"/>
  <c r="O587" i="4" s="1"/>
  <c r="D587" i="4"/>
  <c r="C587" i="4"/>
  <c r="N586" i="4"/>
  <c r="O586" i="4" s="1"/>
  <c r="M586" i="4"/>
  <c r="D586" i="4"/>
  <c r="C586" i="4"/>
  <c r="N585" i="4"/>
  <c r="O585" i="4" s="1"/>
  <c r="M585" i="4"/>
  <c r="D585" i="4"/>
  <c r="C585" i="4"/>
  <c r="N584" i="4"/>
  <c r="M584" i="4"/>
  <c r="O584" i="4" s="1"/>
  <c r="D584" i="4"/>
  <c r="C584" i="4"/>
  <c r="O583" i="4"/>
  <c r="N583" i="4"/>
  <c r="M583" i="4"/>
  <c r="D583" i="4"/>
  <c r="C583" i="4"/>
  <c r="N582" i="4"/>
  <c r="O582" i="4" s="1"/>
  <c r="M582" i="4"/>
  <c r="D582" i="4"/>
  <c r="C582" i="4"/>
  <c r="O581" i="4"/>
  <c r="N581" i="4"/>
  <c r="M581" i="4"/>
  <c r="D581" i="4"/>
  <c r="C581" i="4"/>
  <c r="O580" i="4"/>
  <c r="N580" i="4"/>
  <c r="M580" i="4"/>
  <c r="D580" i="4"/>
  <c r="C580" i="4"/>
  <c r="N579" i="4"/>
  <c r="M579" i="4"/>
  <c r="O579" i="4" s="1"/>
  <c r="D579" i="4"/>
  <c r="C579" i="4"/>
  <c r="N578" i="4"/>
  <c r="M578" i="4"/>
  <c r="O578" i="4" s="1"/>
  <c r="D578" i="4"/>
  <c r="C578" i="4"/>
  <c r="O577" i="4"/>
  <c r="N577" i="4"/>
  <c r="M577" i="4"/>
  <c r="D577" i="4"/>
  <c r="C577" i="4"/>
  <c r="N576" i="4"/>
  <c r="M576" i="4"/>
  <c r="O576" i="4" s="1"/>
  <c r="D576" i="4"/>
  <c r="C576" i="4"/>
  <c r="N575" i="4"/>
  <c r="M575" i="4"/>
  <c r="O575" i="4" s="1"/>
  <c r="D575" i="4"/>
  <c r="C575" i="4"/>
  <c r="N574" i="4"/>
  <c r="O574" i="4" s="1"/>
  <c r="M574" i="4"/>
  <c r="D574" i="4"/>
  <c r="C574" i="4"/>
  <c r="N573" i="4"/>
  <c r="O573" i="4" s="1"/>
  <c r="M573" i="4"/>
  <c r="D573" i="4"/>
  <c r="C573" i="4"/>
  <c r="N572" i="4"/>
  <c r="M572" i="4"/>
  <c r="O572" i="4" s="1"/>
  <c r="D572" i="4"/>
  <c r="C572" i="4"/>
  <c r="O571" i="4"/>
  <c r="N571" i="4"/>
  <c r="M571" i="4"/>
  <c r="D571" i="4"/>
  <c r="C571" i="4"/>
  <c r="N570" i="4"/>
  <c r="O570" i="4" s="1"/>
  <c r="M570" i="4"/>
  <c r="D570" i="4"/>
  <c r="C570" i="4"/>
  <c r="N569" i="4"/>
  <c r="M569" i="4"/>
  <c r="O569" i="4" s="1"/>
  <c r="D569" i="4"/>
  <c r="C569" i="4"/>
  <c r="O568" i="4"/>
  <c r="N568" i="4"/>
  <c r="M568" i="4"/>
  <c r="D568" i="4"/>
  <c r="C568" i="4"/>
  <c r="N567" i="4"/>
  <c r="M567" i="4"/>
  <c r="O567" i="4" s="1"/>
  <c r="D567" i="4"/>
  <c r="C567" i="4"/>
  <c r="N566" i="4"/>
  <c r="M566" i="4"/>
  <c r="O566" i="4" s="1"/>
  <c r="D566" i="4"/>
  <c r="C566" i="4"/>
  <c r="O565" i="4"/>
  <c r="N565" i="4"/>
  <c r="M565" i="4"/>
  <c r="D565" i="4"/>
  <c r="C565" i="4"/>
  <c r="N564" i="4"/>
  <c r="M564" i="4"/>
  <c r="O564" i="4" s="1"/>
  <c r="D564" i="4"/>
  <c r="C564" i="4"/>
  <c r="N563" i="4"/>
  <c r="M563" i="4"/>
  <c r="O563" i="4" s="1"/>
  <c r="D563" i="4"/>
  <c r="C563" i="4"/>
  <c r="N562" i="4"/>
  <c r="O562" i="4" s="1"/>
  <c r="M562" i="4"/>
  <c r="D562" i="4"/>
  <c r="C562" i="4"/>
  <c r="N561" i="4"/>
  <c r="O561" i="4" s="1"/>
  <c r="M561" i="4"/>
  <c r="D561" i="4"/>
  <c r="C561" i="4"/>
  <c r="N560" i="4"/>
  <c r="M560" i="4"/>
  <c r="O560" i="4" s="1"/>
  <c r="D560" i="4"/>
  <c r="C560" i="4"/>
  <c r="N559" i="4"/>
  <c r="M559" i="4"/>
  <c r="O559" i="4" s="1"/>
  <c r="D559" i="4"/>
  <c r="C559" i="4"/>
  <c r="N558" i="4"/>
  <c r="O558" i="4" s="1"/>
  <c r="M558" i="4"/>
  <c r="D558" i="4"/>
  <c r="C558" i="4"/>
  <c r="N557" i="4"/>
  <c r="M557" i="4"/>
  <c r="O557" i="4" s="1"/>
  <c r="D557" i="4"/>
  <c r="C557" i="4"/>
  <c r="O556" i="4"/>
  <c r="N556" i="4"/>
  <c r="M556" i="4"/>
  <c r="D556" i="4"/>
  <c r="C556" i="4"/>
  <c r="N555" i="4"/>
  <c r="M555" i="4"/>
  <c r="O555" i="4" s="1"/>
  <c r="D555" i="4"/>
  <c r="C555" i="4"/>
  <c r="N554" i="4"/>
  <c r="M554" i="4"/>
  <c r="D554" i="4"/>
  <c r="C554" i="4"/>
  <c r="O553" i="4"/>
  <c r="N553" i="4"/>
  <c r="M553" i="4"/>
  <c r="D553" i="4"/>
  <c r="C553" i="4"/>
  <c r="N552" i="4"/>
  <c r="M552" i="4"/>
  <c r="O552" i="4" s="1"/>
  <c r="D552" i="4"/>
  <c r="C552" i="4"/>
  <c r="N551" i="4"/>
  <c r="M551" i="4"/>
  <c r="O551" i="4" s="1"/>
  <c r="D551" i="4"/>
  <c r="C551" i="4"/>
  <c r="N550" i="4"/>
  <c r="O550" i="4" s="1"/>
  <c r="M550" i="4"/>
  <c r="D550" i="4"/>
  <c r="C550" i="4"/>
  <c r="N549" i="4"/>
  <c r="O549" i="4" s="1"/>
  <c r="M549" i="4"/>
  <c r="D549" i="4"/>
  <c r="C549" i="4"/>
  <c r="N548" i="4"/>
  <c r="M548" i="4"/>
  <c r="O548" i="4" s="1"/>
  <c r="D548" i="4"/>
  <c r="C548" i="4"/>
  <c r="N547" i="4"/>
  <c r="M547" i="4"/>
  <c r="O547" i="4" s="1"/>
  <c r="D547" i="4"/>
  <c r="C547" i="4"/>
  <c r="N546" i="4"/>
  <c r="O546" i="4" s="1"/>
  <c r="M546" i="4"/>
  <c r="D546" i="4"/>
  <c r="C546" i="4"/>
  <c r="O545" i="4"/>
  <c r="N545" i="4"/>
  <c r="M545" i="4"/>
  <c r="D545" i="4"/>
  <c r="C545" i="4"/>
  <c r="O544" i="4"/>
  <c r="N544" i="4"/>
  <c r="M544" i="4"/>
  <c r="D544" i="4"/>
  <c r="C544" i="4"/>
  <c r="N543" i="4"/>
  <c r="M543" i="4"/>
  <c r="O543" i="4" s="1"/>
  <c r="D543" i="4"/>
  <c r="C543" i="4"/>
  <c r="N542" i="4"/>
  <c r="M542" i="4"/>
  <c r="O542" i="4" s="1"/>
  <c r="D542" i="4"/>
  <c r="C542" i="4"/>
  <c r="O541" i="4"/>
  <c r="N541" i="4"/>
  <c r="M541" i="4"/>
  <c r="D541" i="4"/>
  <c r="C541" i="4"/>
  <c r="N540" i="4"/>
  <c r="M540" i="4"/>
  <c r="O540" i="4" s="1"/>
  <c r="D540" i="4"/>
  <c r="C540" i="4"/>
  <c r="N539" i="4"/>
  <c r="M539" i="4"/>
  <c r="O539" i="4" s="1"/>
  <c r="D539" i="4"/>
  <c r="C539" i="4"/>
  <c r="N538" i="4"/>
  <c r="O538" i="4" s="1"/>
  <c r="M538" i="4"/>
  <c r="D538" i="4"/>
  <c r="C538" i="4"/>
  <c r="N537" i="4"/>
  <c r="O537" i="4" s="1"/>
  <c r="M537" i="4"/>
  <c r="D537" i="4"/>
  <c r="C537" i="4"/>
  <c r="N536" i="4"/>
  <c r="M536" i="4"/>
  <c r="O536" i="4" s="1"/>
  <c r="D536" i="4"/>
  <c r="C536" i="4"/>
  <c r="O535" i="4"/>
  <c r="N535" i="4"/>
  <c r="M535" i="4"/>
  <c r="D535" i="4"/>
  <c r="C535" i="4"/>
  <c r="N534" i="4"/>
  <c r="O534" i="4" s="1"/>
  <c r="M534" i="4"/>
  <c r="D534" i="4"/>
  <c r="C534" i="4"/>
  <c r="O533" i="4"/>
  <c r="N533" i="4"/>
  <c r="M533" i="4"/>
  <c r="D533" i="4"/>
  <c r="C533" i="4"/>
  <c r="O532" i="4"/>
  <c r="N532" i="4"/>
  <c r="M532" i="4"/>
  <c r="D532" i="4"/>
  <c r="C532" i="4"/>
  <c r="N531" i="4"/>
  <c r="M531" i="4"/>
  <c r="O531" i="4" s="1"/>
  <c r="D531" i="4"/>
  <c r="C531" i="4"/>
  <c r="N530" i="4"/>
  <c r="M530" i="4"/>
  <c r="D530" i="4"/>
  <c r="C530" i="4"/>
  <c r="O529" i="4"/>
  <c r="N529" i="4"/>
  <c r="M529" i="4"/>
  <c r="D529" i="4"/>
  <c r="C529" i="4"/>
  <c r="N528" i="4"/>
  <c r="M528" i="4"/>
  <c r="O528" i="4" s="1"/>
  <c r="D528" i="4"/>
  <c r="C528" i="4"/>
  <c r="N527" i="4"/>
  <c r="M527" i="4"/>
  <c r="O527" i="4" s="1"/>
  <c r="D527" i="4"/>
  <c r="C527" i="4"/>
  <c r="N526" i="4"/>
  <c r="O526" i="4" s="1"/>
  <c r="M526" i="4"/>
  <c r="D526" i="4"/>
  <c r="C526" i="4"/>
  <c r="N525" i="4"/>
  <c r="O525" i="4" s="1"/>
  <c r="M525" i="4"/>
  <c r="D525" i="4"/>
  <c r="C525" i="4"/>
  <c r="N524" i="4"/>
  <c r="M524" i="4"/>
  <c r="O524" i="4" s="1"/>
  <c r="D524" i="4"/>
  <c r="C524" i="4"/>
  <c r="N523" i="4"/>
  <c r="M523" i="4"/>
  <c r="O523" i="4" s="1"/>
  <c r="D523" i="4"/>
  <c r="C523" i="4"/>
  <c r="N522" i="4"/>
  <c r="O522" i="4" s="1"/>
  <c r="M522" i="4"/>
  <c r="D522" i="4"/>
  <c r="C522" i="4"/>
  <c r="N521" i="4"/>
  <c r="M521" i="4"/>
  <c r="O521" i="4" s="1"/>
  <c r="D521" i="4"/>
  <c r="C521" i="4"/>
  <c r="O520" i="4"/>
  <c r="N520" i="4"/>
  <c r="M520" i="4"/>
  <c r="D520" i="4"/>
  <c r="C520" i="4"/>
  <c r="N519" i="4"/>
  <c r="M519" i="4"/>
  <c r="O519" i="4" s="1"/>
  <c r="D519" i="4"/>
  <c r="C519" i="4"/>
  <c r="N518" i="4"/>
  <c r="M518" i="4"/>
  <c r="D518" i="4"/>
  <c r="C518" i="4"/>
  <c r="O517" i="4"/>
  <c r="N517" i="4"/>
  <c r="M517" i="4"/>
  <c r="D517" i="4"/>
  <c r="C517" i="4"/>
  <c r="N516" i="4"/>
  <c r="M516" i="4"/>
  <c r="D516" i="4"/>
  <c r="C516" i="4"/>
  <c r="N515" i="4"/>
  <c r="M515" i="4"/>
  <c r="O515" i="4" s="1"/>
  <c r="D515" i="4"/>
  <c r="C515" i="4"/>
  <c r="N514" i="4"/>
  <c r="O514" i="4" s="1"/>
  <c r="M514" i="4"/>
  <c r="D514" i="4"/>
  <c r="C514" i="4"/>
  <c r="O513" i="4"/>
  <c r="N513" i="4"/>
  <c r="M513" i="4"/>
  <c r="D513" i="4"/>
  <c r="C513" i="4"/>
  <c r="N512" i="4"/>
  <c r="M512" i="4"/>
  <c r="O512" i="4" s="1"/>
  <c r="D512" i="4"/>
  <c r="C512" i="4"/>
  <c r="N511" i="4"/>
  <c r="M511" i="4"/>
  <c r="O511" i="4" s="1"/>
  <c r="D511" i="4"/>
  <c r="C511" i="4"/>
  <c r="N510" i="4"/>
  <c r="O510" i="4" s="1"/>
  <c r="M510" i="4"/>
  <c r="D510" i="4"/>
  <c r="C510" i="4"/>
  <c r="N509" i="4"/>
  <c r="M509" i="4"/>
  <c r="O509" i="4" s="1"/>
  <c r="D509" i="4"/>
  <c r="C509" i="4"/>
  <c r="O508" i="4"/>
  <c r="N508" i="4"/>
  <c r="M508" i="4"/>
  <c r="D508" i="4"/>
  <c r="C508" i="4"/>
  <c r="N507" i="4"/>
  <c r="M507" i="4"/>
  <c r="O507" i="4" s="1"/>
  <c r="D507" i="4"/>
  <c r="C507" i="4"/>
  <c r="N506" i="4"/>
  <c r="M506" i="4"/>
  <c r="D506" i="4"/>
  <c r="C506" i="4"/>
  <c r="O505" i="4"/>
  <c r="N505" i="4"/>
  <c r="M505" i="4"/>
  <c r="D505" i="4"/>
  <c r="C505" i="4"/>
  <c r="N504" i="4"/>
  <c r="M504" i="4"/>
  <c r="O504" i="4" s="1"/>
  <c r="D504" i="4"/>
  <c r="C504" i="4"/>
  <c r="N503" i="4"/>
  <c r="M503" i="4"/>
  <c r="O503" i="4" s="1"/>
  <c r="D503" i="4"/>
  <c r="C503" i="4"/>
  <c r="N502" i="4"/>
  <c r="O502" i="4" s="1"/>
  <c r="M502" i="4"/>
  <c r="D502" i="4"/>
  <c r="C502" i="4"/>
  <c r="N501" i="4"/>
  <c r="O501" i="4" s="1"/>
  <c r="M501" i="4"/>
  <c r="D501" i="4"/>
  <c r="C501" i="4"/>
  <c r="N500" i="4"/>
  <c r="M500" i="4"/>
  <c r="O500" i="4" s="1"/>
  <c r="D500" i="4"/>
  <c r="C500" i="4"/>
  <c r="N499" i="4"/>
  <c r="M499" i="4"/>
  <c r="O499" i="4" s="1"/>
  <c r="D499" i="4"/>
  <c r="C499" i="4"/>
  <c r="N498" i="4"/>
  <c r="O498" i="4" s="1"/>
  <c r="M498" i="4"/>
  <c r="D498" i="4"/>
  <c r="C498" i="4"/>
  <c r="O497" i="4"/>
  <c r="N497" i="4"/>
  <c r="M497" i="4"/>
  <c r="D497" i="4"/>
  <c r="C497" i="4"/>
  <c r="O496" i="4"/>
  <c r="N496" i="4"/>
  <c r="M496" i="4"/>
  <c r="D496" i="4"/>
  <c r="C496" i="4"/>
  <c r="N495" i="4"/>
  <c r="M495" i="4"/>
  <c r="O495" i="4" s="1"/>
  <c r="D495" i="4"/>
  <c r="C495" i="4"/>
  <c r="N494" i="4"/>
  <c r="M494" i="4"/>
  <c r="D494" i="4"/>
  <c r="C494" i="4"/>
  <c r="O493" i="4"/>
  <c r="N493" i="4"/>
  <c r="M493" i="4"/>
  <c r="D493" i="4"/>
  <c r="C493" i="4"/>
  <c r="N492" i="4"/>
  <c r="M492" i="4"/>
  <c r="D492" i="4"/>
  <c r="C492" i="4"/>
  <c r="N491" i="4"/>
  <c r="M491" i="4"/>
  <c r="O491" i="4" s="1"/>
  <c r="D491" i="4"/>
  <c r="C491" i="4"/>
  <c r="N490" i="4"/>
  <c r="O490" i="4" s="1"/>
  <c r="M490" i="4"/>
  <c r="D490" i="4"/>
  <c r="C490" i="4"/>
  <c r="O489" i="4"/>
  <c r="N489" i="4"/>
  <c r="M489" i="4"/>
  <c r="D489" i="4"/>
  <c r="C489" i="4"/>
  <c r="N488" i="4"/>
  <c r="M488" i="4"/>
  <c r="O488" i="4" s="1"/>
  <c r="D488" i="4"/>
  <c r="C488" i="4"/>
  <c r="N487" i="4"/>
  <c r="M487" i="4"/>
  <c r="O487" i="4" s="1"/>
  <c r="D487" i="4"/>
  <c r="C487" i="4"/>
  <c r="N486" i="4"/>
  <c r="O486" i="4" s="1"/>
  <c r="M486" i="4"/>
  <c r="D486" i="4"/>
  <c r="C486" i="4"/>
  <c r="N485" i="4"/>
  <c r="M485" i="4"/>
  <c r="O485" i="4" s="1"/>
  <c r="D485" i="4"/>
  <c r="C485" i="4"/>
  <c r="O484" i="4"/>
  <c r="N484" i="4"/>
  <c r="M484" i="4"/>
  <c r="D484" i="4"/>
  <c r="C484" i="4"/>
  <c r="N483" i="4"/>
  <c r="M483" i="4"/>
  <c r="O483" i="4" s="1"/>
  <c r="D483" i="4"/>
  <c r="C483" i="4"/>
  <c r="N482" i="4"/>
  <c r="M482" i="4"/>
  <c r="O482" i="4" s="1"/>
  <c r="D482" i="4"/>
  <c r="C482" i="4"/>
  <c r="O481" i="4"/>
  <c r="N481" i="4"/>
  <c r="M481" i="4"/>
  <c r="D481" i="4"/>
  <c r="C481" i="4"/>
  <c r="N480" i="4"/>
  <c r="M480" i="4"/>
  <c r="D480" i="4"/>
  <c r="C480" i="4"/>
  <c r="N479" i="4"/>
  <c r="M479" i="4"/>
  <c r="O479" i="4" s="1"/>
  <c r="D479" i="4"/>
  <c r="C479" i="4"/>
  <c r="N478" i="4"/>
  <c r="O478" i="4" s="1"/>
  <c r="M478" i="4"/>
  <c r="D478" i="4"/>
  <c r="C478" i="4"/>
  <c r="O477" i="4"/>
  <c r="N477" i="4"/>
  <c r="M477" i="4"/>
  <c r="D477" i="4"/>
  <c r="C477" i="4"/>
  <c r="N476" i="4"/>
  <c r="M476" i="4"/>
  <c r="O476" i="4" s="1"/>
  <c r="D476" i="4"/>
  <c r="C476" i="4"/>
  <c r="O475" i="4"/>
  <c r="N475" i="4"/>
  <c r="M475" i="4"/>
  <c r="D475" i="4"/>
  <c r="C475" i="4"/>
  <c r="N474" i="4"/>
  <c r="O474" i="4" s="1"/>
  <c r="M474" i="4"/>
  <c r="D474" i="4"/>
  <c r="C474" i="4"/>
  <c r="O473" i="4"/>
  <c r="N473" i="4"/>
  <c r="M473" i="4"/>
  <c r="D473" i="4"/>
  <c r="C473" i="4"/>
  <c r="O472" i="4"/>
  <c r="N472" i="4"/>
  <c r="M472" i="4"/>
  <c r="D472" i="4"/>
  <c r="C472" i="4"/>
  <c r="N471" i="4"/>
  <c r="M471" i="4"/>
  <c r="O471" i="4" s="1"/>
  <c r="D471" i="4"/>
  <c r="C471" i="4"/>
  <c r="N470" i="4"/>
  <c r="M470" i="4"/>
  <c r="O470" i="4" s="1"/>
  <c r="D470" i="4"/>
  <c r="C470" i="4"/>
  <c r="O469" i="4"/>
  <c r="N469" i="4"/>
  <c r="M469" i="4"/>
  <c r="D469" i="4"/>
  <c r="C469" i="4"/>
  <c r="N468" i="4"/>
  <c r="M468" i="4"/>
  <c r="D468" i="4"/>
  <c r="C468" i="4"/>
  <c r="N467" i="4"/>
  <c r="M467" i="4"/>
  <c r="O467" i="4" s="1"/>
  <c r="D467" i="4"/>
  <c r="C467" i="4"/>
  <c r="N466" i="4"/>
  <c r="O466" i="4" s="1"/>
  <c r="M466" i="4"/>
  <c r="D466" i="4"/>
  <c r="C466" i="4"/>
  <c r="O465" i="4"/>
  <c r="N465" i="4"/>
  <c r="M465" i="4"/>
  <c r="D465" i="4"/>
  <c r="C465" i="4"/>
  <c r="N464" i="4"/>
  <c r="M464" i="4"/>
  <c r="O464" i="4" s="1"/>
  <c r="D464" i="4"/>
  <c r="C464" i="4"/>
  <c r="N463" i="4"/>
  <c r="M463" i="4"/>
  <c r="O463" i="4" s="1"/>
  <c r="D463" i="4"/>
  <c r="C463" i="4"/>
  <c r="N462" i="4"/>
  <c r="O462" i="4" s="1"/>
  <c r="M462" i="4"/>
  <c r="D462" i="4"/>
  <c r="C462" i="4"/>
  <c r="N461" i="4"/>
  <c r="M461" i="4"/>
  <c r="O461" i="4" s="1"/>
  <c r="D461" i="4"/>
  <c r="C461" i="4"/>
  <c r="O460" i="4"/>
  <c r="N460" i="4"/>
  <c r="M460" i="4"/>
  <c r="D460" i="4"/>
  <c r="C460" i="4"/>
  <c r="N459" i="4"/>
  <c r="M459" i="4"/>
  <c r="O459" i="4" s="1"/>
  <c r="D459" i="4"/>
  <c r="C459" i="4"/>
  <c r="N458" i="4"/>
  <c r="M458" i="4"/>
  <c r="O458" i="4" s="1"/>
  <c r="D458" i="4"/>
  <c r="C458" i="4"/>
  <c r="O457" i="4"/>
  <c r="N457" i="4"/>
  <c r="M457" i="4"/>
  <c r="D457" i="4"/>
  <c r="C457" i="4"/>
  <c r="N456" i="4"/>
  <c r="M456" i="4"/>
  <c r="D456" i="4"/>
  <c r="C456" i="4"/>
  <c r="N455" i="4"/>
  <c r="M455" i="4"/>
  <c r="O455" i="4" s="1"/>
  <c r="D455" i="4"/>
  <c r="C455" i="4"/>
  <c r="N454" i="4"/>
  <c r="O454" i="4" s="1"/>
  <c r="M454" i="4"/>
  <c r="D454" i="4"/>
  <c r="C454" i="4"/>
  <c r="O453" i="4"/>
  <c r="N453" i="4"/>
  <c r="M453" i="4"/>
  <c r="D453" i="4"/>
  <c r="C453" i="4"/>
  <c r="N452" i="4"/>
  <c r="M452" i="4"/>
  <c r="O452" i="4" s="1"/>
  <c r="D452" i="4"/>
  <c r="C452" i="4"/>
  <c r="N451" i="4"/>
  <c r="M451" i="4"/>
  <c r="O451" i="4" s="1"/>
  <c r="D451" i="4"/>
  <c r="C451" i="4"/>
  <c r="N450" i="4"/>
  <c r="O450" i="4" s="1"/>
  <c r="M450" i="4"/>
  <c r="D450" i="4"/>
  <c r="C450" i="4"/>
  <c r="N449" i="4"/>
  <c r="M449" i="4"/>
  <c r="O449" i="4" s="1"/>
  <c r="D449" i="4"/>
  <c r="C449" i="4"/>
  <c r="O448" i="4"/>
  <c r="N448" i="4"/>
  <c r="M448" i="4"/>
  <c r="D448" i="4"/>
  <c r="C448" i="4"/>
  <c r="N447" i="4"/>
  <c r="M447" i="4"/>
  <c r="O447" i="4" s="1"/>
  <c r="D447" i="4"/>
  <c r="C447" i="4"/>
  <c r="N446" i="4"/>
  <c r="M446" i="4"/>
  <c r="O446" i="4" s="1"/>
  <c r="D446" i="4"/>
  <c r="C446" i="4"/>
  <c r="O445" i="4"/>
  <c r="N445" i="4"/>
  <c r="M445" i="4"/>
  <c r="D445" i="4"/>
  <c r="C445" i="4"/>
  <c r="N444" i="4"/>
  <c r="M444" i="4"/>
  <c r="O444" i="4" s="1"/>
  <c r="D444" i="4"/>
  <c r="C444" i="4"/>
  <c r="N443" i="4"/>
  <c r="M443" i="4"/>
  <c r="O443" i="4" s="1"/>
  <c r="D443" i="4"/>
  <c r="C443" i="4"/>
  <c r="N442" i="4"/>
  <c r="O442" i="4" s="1"/>
  <c r="M442" i="4"/>
  <c r="D442" i="4"/>
  <c r="C442" i="4"/>
  <c r="N441" i="4"/>
  <c r="O441" i="4" s="1"/>
  <c r="M441" i="4"/>
  <c r="D441" i="4"/>
  <c r="C441" i="4"/>
  <c r="N440" i="4"/>
  <c r="M440" i="4"/>
  <c r="O440" i="4" s="1"/>
  <c r="D440" i="4"/>
  <c r="C440" i="4"/>
  <c r="O439" i="4"/>
  <c r="N439" i="4"/>
  <c r="M439" i="4"/>
  <c r="D439" i="4"/>
  <c r="C439" i="4"/>
  <c r="N438" i="4"/>
  <c r="O438" i="4" s="1"/>
  <c r="M438" i="4"/>
  <c r="D438" i="4"/>
  <c r="C438" i="4"/>
  <c r="O437" i="4"/>
  <c r="N437" i="4"/>
  <c r="M437" i="4"/>
  <c r="D437" i="4"/>
  <c r="C437" i="4"/>
  <c r="O436" i="4"/>
  <c r="N436" i="4"/>
  <c r="M436" i="4"/>
  <c r="D436" i="4"/>
  <c r="C436" i="4"/>
  <c r="N435" i="4"/>
  <c r="M435" i="4"/>
  <c r="O435" i="4" s="1"/>
  <c r="D435" i="4"/>
  <c r="C435" i="4"/>
  <c r="N434" i="4"/>
  <c r="M434" i="4"/>
  <c r="O434" i="4" s="1"/>
  <c r="D434" i="4"/>
  <c r="C434" i="4"/>
  <c r="O433" i="4"/>
  <c r="N433" i="4"/>
  <c r="M433" i="4"/>
  <c r="D433" i="4"/>
  <c r="C433" i="4"/>
  <c r="N432" i="4"/>
  <c r="M432" i="4"/>
  <c r="O432" i="4" s="1"/>
  <c r="D432" i="4"/>
  <c r="C432" i="4"/>
  <c r="N431" i="4"/>
  <c r="M431" i="4"/>
  <c r="O431" i="4" s="1"/>
  <c r="D431" i="4"/>
  <c r="C431" i="4"/>
  <c r="N430" i="4"/>
  <c r="O430" i="4" s="1"/>
  <c r="M430" i="4"/>
  <c r="D430" i="4"/>
  <c r="C430" i="4"/>
  <c r="N429" i="4"/>
  <c r="O429" i="4" s="1"/>
  <c r="M429" i="4"/>
  <c r="D429" i="4"/>
  <c r="C429" i="4"/>
  <c r="N428" i="4"/>
  <c r="M428" i="4"/>
  <c r="O428" i="4" s="1"/>
  <c r="D428" i="4"/>
  <c r="C428" i="4"/>
  <c r="O427" i="4"/>
  <c r="N427" i="4"/>
  <c r="M427" i="4"/>
  <c r="D427" i="4"/>
  <c r="C427" i="4"/>
  <c r="N426" i="4"/>
  <c r="O426" i="4" s="1"/>
  <c r="M426" i="4"/>
  <c r="D426" i="4"/>
  <c r="C426" i="4"/>
  <c r="N425" i="4"/>
  <c r="M425" i="4"/>
  <c r="O425" i="4" s="1"/>
  <c r="D425" i="4"/>
  <c r="C425" i="4"/>
  <c r="O424" i="4"/>
  <c r="N424" i="4"/>
  <c r="M424" i="4"/>
  <c r="D424" i="4"/>
  <c r="C424" i="4"/>
  <c r="N423" i="4"/>
  <c r="M423" i="4"/>
  <c r="O423" i="4" s="1"/>
  <c r="D423" i="4"/>
  <c r="C423" i="4"/>
  <c r="N422" i="4"/>
  <c r="M422" i="4"/>
  <c r="O422" i="4" s="1"/>
  <c r="D422" i="4"/>
  <c r="C422" i="4"/>
  <c r="O421" i="4"/>
  <c r="N421" i="4"/>
  <c r="M421" i="4"/>
  <c r="D421" i="4"/>
  <c r="C421" i="4"/>
  <c r="N420" i="4"/>
  <c r="M420" i="4"/>
  <c r="O420" i="4" s="1"/>
  <c r="D420" i="4"/>
  <c r="C420" i="4"/>
  <c r="N419" i="4"/>
  <c r="M419" i="4"/>
  <c r="O419" i="4" s="1"/>
  <c r="D419" i="4"/>
  <c r="C419" i="4"/>
  <c r="N418" i="4"/>
  <c r="O418" i="4" s="1"/>
  <c r="M418" i="4"/>
  <c r="D418" i="4"/>
  <c r="C418" i="4"/>
  <c r="N417" i="4"/>
  <c r="O417" i="4" s="1"/>
  <c r="M417" i="4"/>
  <c r="D417" i="4"/>
  <c r="C417" i="4"/>
  <c r="N416" i="4"/>
  <c r="M416" i="4"/>
  <c r="O416" i="4" s="1"/>
  <c r="D416" i="4"/>
  <c r="C416" i="4"/>
  <c r="N415" i="4"/>
  <c r="M415" i="4"/>
  <c r="O415" i="4" s="1"/>
  <c r="D415" i="4"/>
  <c r="C415" i="4"/>
  <c r="N414" i="4"/>
  <c r="O414" i="4" s="1"/>
  <c r="M414" i="4"/>
  <c r="D414" i="4"/>
  <c r="C414" i="4"/>
  <c r="N413" i="4"/>
  <c r="M413" i="4"/>
  <c r="O413" i="4" s="1"/>
  <c r="D413" i="4"/>
  <c r="C413" i="4"/>
  <c r="O412" i="4"/>
  <c r="N412" i="4"/>
  <c r="M412" i="4"/>
  <c r="D412" i="4"/>
  <c r="C412" i="4"/>
  <c r="N411" i="4"/>
  <c r="M411" i="4"/>
  <c r="O411" i="4" s="1"/>
  <c r="D411" i="4"/>
  <c r="C411" i="4"/>
  <c r="N410" i="4"/>
  <c r="M410" i="4"/>
  <c r="D410" i="4"/>
  <c r="C410" i="4"/>
  <c r="O409" i="4"/>
  <c r="N409" i="4"/>
  <c r="M409" i="4"/>
  <c r="D409" i="4"/>
  <c r="C409" i="4"/>
  <c r="N408" i="4"/>
  <c r="M408" i="4"/>
  <c r="O408" i="4" s="1"/>
  <c r="D408" i="4"/>
  <c r="C408" i="4"/>
  <c r="N407" i="4"/>
  <c r="M407" i="4"/>
  <c r="O407" i="4" s="1"/>
  <c r="D407" i="4"/>
  <c r="C407" i="4"/>
  <c r="N406" i="4"/>
  <c r="O406" i="4" s="1"/>
  <c r="M406" i="4"/>
  <c r="D406" i="4"/>
  <c r="C406" i="4"/>
  <c r="N405" i="4"/>
  <c r="O405" i="4" s="1"/>
  <c r="M405" i="4"/>
  <c r="D405" i="4"/>
  <c r="C405" i="4"/>
  <c r="N404" i="4"/>
  <c r="M404" i="4"/>
  <c r="O404" i="4" s="1"/>
  <c r="D404" i="4"/>
  <c r="C404" i="4"/>
  <c r="N403" i="4"/>
  <c r="M403" i="4"/>
  <c r="O403" i="4" s="1"/>
  <c r="D403" i="4"/>
  <c r="C403" i="4"/>
  <c r="N402" i="4"/>
  <c r="O402" i="4" s="1"/>
  <c r="M402" i="4"/>
  <c r="D402" i="4"/>
  <c r="C402" i="4"/>
  <c r="O401" i="4"/>
  <c r="N401" i="4"/>
  <c r="M401" i="4"/>
  <c r="D401" i="4"/>
  <c r="C401" i="4"/>
  <c r="O400" i="4"/>
  <c r="N400" i="4"/>
  <c r="M400" i="4"/>
  <c r="D400" i="4"/>
  <c r="C400" i="4"/>
  <c r="N399" i="4"/>
  <c r="M399" i="4"/>
  <c r="O399" i="4" s="1"/>
  <c r="D399" i="4"/>
  <c r="C399" i="4"/>
  <c r="N398" i="4"/>
  <c r="M398" i="4"/>
  <c r="O398" i="4" s="1"/>
  <c r="D398" i="4"/>
  <c r="C398" i="4"/>
  <c r="O397" i="4"/>
  <c r="N397" i="4"/>
  <c r="M397" i="4"/>
  <c r="D397" i="4"/>
  <c r="C397" i="4"/>
  <c r="N396" i="4"/>
  <c r="M396" i="4"/>
  <c r="O396" i="4" s="1"/>
  <c r="D396" i="4"/>
  <c r="C396" i="4"/>
  <c r="N395" i="4"/>
  <c r="M395" i="4"/>
  <c r="O395" i="4" s="1"/>
  <c r="D395" i="4"/>
  <c r="C395" i="4"/>
  <c r="N394" i="4"/>
  <c r="O394" i="4" s="1"/>
  <c r="M394" i="4"/>
  <c r="D394" i="4"/>
  <c r="C394" i="4"/>
  <c r="N393" i="4"/>
  <c r="O393" i="4" s="1"/>
  <c r="M393" i="4"/>
  <c r="D393" i="4"/>
  <c r="C393" i="4"/>
  <c r="N392" i="4"/>
  <c r="M392" i="4"/>
  <c r="O392" i="4" s="1"/>
  <c r="D392" i="4"/>
  <c r="C392" i="4"/>
  <c r="O391" i="4"/>
  <c r="N391" i="4"/>
  <c r="M391" i="4"/>
  <c r="D391" i="4"/>
  <c r="C391" i="4"/>
  <c r="N390" i="4"/>
  <c r="O390" i="4" s="1"/>
  <c r="M390" i="4"/>
  <c r="D390" i="4"/>
  <c r="C390" i="4"/>
  <c r="O389" i="4"/>
  <c r="N389" i="4"/>
  <c r="M389" i="4"/>
  <c r="D389" i="4"/>
  <c r="C389" i="4"/>
  <c r="O388" i="4"/>
  <c r="N388" i="4"/>
  <c r="M388" i="4"/>
  <c r="D388" i="4"/>
  <c r="C388" i="4"/>
  <c r="N387" i="4"/>
  <c r="M387" i="4"/>
  <c r="O387" i="4" s="1"/>
  <c r="D387" i="4"/>
  <c r="C387" i="4"/>
  <c r="N386" i="4"/>
  <c r="M386" i="4"/>
  <c r="D386" i="4"/>
  <c r="C386" i="4"/>
  <c r="O385" i="4"/>
  <c r="N385" i="4"/>
  <c r="M385" i="4"/>
  <c r="D385" i="4"/>
  <c r="C385" i="4"/>
  <c r="N384" i="4"/>
  <c r="M384" i="4"/>
  <c r="O384" i="4" s="1"/>
  <c r="D384" i="4"/>
  <c r="C384" i="4"/>
  <c r="O383" i="4"/>
  <c r="N383" i="4"/>
  <c r="M383" i="4"/>
  <c r="D383" i="4"/>
  <c r="C383" i="4"/>
  <c r="N382" i="4"/>
  <c r="O382" i="4" s="1"/>
  <c r="M382" i="4"/>
  <c r="D382" i="4"/>
  <c r="C382" i="4"/>
  <c r="O381" i="4"/>
  <c r="N381" i="4"/>
  <c r="M381" i="4"/>
  <c r="D381" i="4"/>
  <c r="C381" i="4"/>
  <c r="N380" i="4"/>
  <c r="M380" i="4"/>
  <c r="O380" i="4" s="1"/>
  <c r="D380" i="4"/>
  <c r="C380" i="4"/>
  <c r="N379" i="4"/>
  <c r="M379" i="4"/>
  <c r="O379" i="4" s="1"/>
  <c r="D379" i="4"/>
  <c r="C379" i="4"/>
  <c r="N378" i="4"/>
  <c r="O378" i="4" s="1"/>
  <c r="M378" i="4"/>
  <c r="D378" i="4"/>
  <c r="C378" i="4"/>
  <c r="N377" i="4"/>
  <c r="M377" i="4"/>
  <c r="O377" i="4" s="1"/>
  <c r="D377" i="4"/>
  <c r="C377" i="4"/>
  <c r="N376" i="4"/>
  <c r="O376" i="4" s="1"/>
  <c r="M376" i="4"/>
  <c r="D376" i="4"/>
  <c r="C376" i="4"/>
  <c r="N375" i="4"/>
  <c r="M375" i="4"/>
  <c r="O375" i="4" s="1"/>
  <c r="D375" i="4"/>
  <c r="C375" i="4"/>
  <c r="N374" i="4"/>
  <c r="M374" i="4"/>
  <c r="O374" i="4" s="1"/>
  <c r="D374" i="4"/>
  <c r="C374" i="4"/>
  <c r="O373" i="4"/>
  <c r="N373" i="4"/>
  <c r="M373" i="4"/>
  <c r="D373" i="4"/>
  <c r="C373" i="4"/>
  <c r="N372" i="4"/>
  <c r="M372" i="4"/>
  <c r="D372" i="4"/>
  <c r="C372" i="4"/>
  <c r="N371" i="4"/>
  <c r="M371" i="4"/>
  <c r="O371" i="4" s="1"/>
  <c r="D371" i="4"/>
  <c r="C371" i="4"/>
  <c r="N370" i="4"/>
  <c r="O370" i="4" s="1"/>
  <c r="M370" i="4"/>
  <c r="D370" i="4"/>
  <c r="C370" i="4"/>
  <c r="N369" i="4"/>
  <c r="M369" i="4"/>
  <c r="O369" i="4" s="1"/>
  <c r="D369" i="4"/>
  <c r="C369" i="4"/>
  <c r="N368" i="4"/>
  <c r="M368" i="4"/>
  <c r="O368" i="4" s="1"/>
  <c r="D368" i="4"/>
  <c r="C368" i="4"/>
  <c r="O367" i="4"/>
  <c r="N367" i="4"/>
  <c r="M367" i="4"/>
  <c r="D367" i="4"/>
  <c r="C367" i="4"/>
  <c r="N366" i="4"/>
  <c r="O366" i="4" s="1"/>
  <c r="M366" i="4"/>
  <c r="D366" i="4"/>
  <c r="C366" i="4"/>
  <c r="O365" i="4"/>
  <c r="N365" i="4"/>
  <c r="M365" i="4"/>
  <c r="D365" i="4"/>
  <c r="C365" i="4"/>
  <c r="O364" i="4"/>
  <c r="N364" i="4"/>
  <c r="M364" i="4"/>
  <c r="D364" i="4"/>
  <c r="C364" i="4"/>
  <c r="N363" i="4"/>
  <c r="M363" i="4"/>
  <c r="O363" i="4" s="1"/>
  <c r="D363" i="4"/>
  <c r="C363" i="4"/>
  <c r="N362" i="4"/>
  <c r="M362" i="4"/>
  <c r="D362" i="4"/>
  <c r="C362" i="4"/>
  <c r="O361" i="4"/>
  <c r="N361" i="4"/>
  <c r="M361" i="4"/>
  <c r="D361" i="4"/>
  <c r="C361" i="4"/>
  <c r="N360" i="4"/>
  <c r="M360" i="4"/>
  <c r="O360" i="4" s="1"/>
  <c r="D360" i="4"/>
  <c r="C360" i="4"/>
  <c r="O359" i="4"/>
  <c r="N359" i="4"/>
  <c r="M359" i="4"/>
  <c r="D359" i="4"/>
  <c r="C359" i="4"/>
  <c r="N358" i="4"/>
  <c r="O358" i="4" s="1"/>
  <c r="M358" i="4"/>
  <c r="D358" i="4"/>
  <c r="C358" i="4"/>
  <c r="O357" i="4"/>
  <c r="N357" i="4"/>
  <c r="M357" i="4"/>
  <c r="D357" i="4"/>
  <c r="C357" i="4"/>
  <c r="N356" i="4"/>
  <c r="M356" i="4"/>
  <c r="O356" i="4" s="1"/>
  <c r="D356" i="4"/>
  <c r="C356" i="4"/>
  <c r="N355" i="4"/>
  <c r="M355" i="4"/>
  <c r="O355" i="4" s="1"/>
  <c r="D355" i="4"/>
  <c r="C355" i="4"/>
  <c r="N354" i="4"/>
  <c r="O354" i="4" s="1"/>
  <c r="M354" i="4"/>
  <c r="D354" i="4"/>
  <c r="C354" i="4"/>
  <c r="N353" i="4"/>
  <c r="M353" i="4"/>
  <c r="O353" i="4" s="1"/>
  <c r="D353" i="4"/>
  <c r="C353" i="4"/>
  <c r="N352" i="4"/>
  <c r="O352" i="4" s="1"/>
  <c r="M352" i="4"/>
  <c r="D352" i="4"/>
  <c r="C352" i="4"/>
  <c r="N351" i="4"/>
  <c r="M351" i="4"/>
  <c r="O351" i="4" s="1"/>
  <c r="D351" i="4"/>
  <c r="C351" i="4"/>
  <c r="N350" i="4"/>
  <c r="M350" i="4"/>
  <c r="O350" i="4" s="1"/>
  <c r="D350" i="4"/>
  <c r="C350" i="4"/>
  <c r="O349" i="4"/>
  <c r="N349" i="4"/>
  <c r="M349" i="4"/>
  <c r="D349" i="4"/>
  <c r="C349" i="4"/>
  <c r="N348" i="4"/>
  <c r="M348" i="4"/>
  <c r="D348" i="4"/>
  <c r="C348" i="4"/>
  <c r="N347" i="4"/>
  <c r="M347" i="4"/>
  <c r="O347" i="4" s="1"/>
  <c r="D347" i="4"/>
  <c r="C347" i="4"/>
  <c r="N346" i="4"/>
  <c r="O346" i="4" s="1"/>
  <c r="M346" i="4"/>
  <c r="D346" i="4"/>
  <c r="C346" i="4"/>
  <c r="N345" i="4"/>
  <c r="M345" i="4"/>
  <c r="O345" i="4" s="1"/>
  <c r="D345" i="4"/>
  <c r="C345" i="4"/>
  <c r="N344" i="4"/>
  <c r="M344" i="4"/>
  <c r="O344" i="4" s="1"/>
  <c r="D344" i="4"/>
  <c r="C344" i="4"/>
  <c r="O343" i="4"/>
  <c r="N343" i="4"/>
  <c r="M343" i="4"/>
  <c r="D343" i="4"/>
  <c r="C343" i="4"/>
  <c r="N342" i="4"/>
  <c r="O342" i="4" s="1"/>
  <c r="M342" i="4"/>
  <c r="D342" i="4"/>
  <c r="C342" i="4"/>
  <c r="O341" i="4"/>
  <c r="N341" i="4"/>
  <c r="M341" i="4"/>
  <c r="D341" i="4"/>
  <c r="C341" i="4"/>
  <c r="O340" i="4"/>
  <c r="N340" i="4"/>
  <c r="M340" i="4"/>
  <c r="D340" i="4"/>
  <c r="C340" i="4"/>
  <c r="N339" i="4"/>
  <c r="M339" i="4"/>
  <c r="O339" i="4" s="1"/>
  <c r="D339" i="4"/>
  <c r="C339" i="4"/>
  <c r="N338" i="4"/>
  <c r="M338" i="4"/>
  <c r="D338" i="4"/>
  <c r="C338" i="4"/>
  <c r="O337" i="4"/>
  <c r="N337" i="4"/>
  <c r="M337" i="4"/>
  <c r="D337" i="4"/>
  <c r="C337" i="4"/>
  <c r="N336" i="4"/>
  <c r="M336" i="4"/>
  <c r="O336" i="4" s="1"/>
  <c r="D336" i="4"/>
  <c r="C336" i="4"/>
  <c r="O335" i="4"/>
  <c r="N335" i="4"/>
  <c r="M335" i="4"/>
  <c r="D335" i="4"/>
  <c r="C335" i="4"/>
  <c r="N334" i="4"/>
  <c r="O334" i="4" s="1"/>
  <c r="M334" i="4"/>
  <c r="D334" i="4"/>
  <c r="C334" i="4"/>
  <c r="O333" i="4"/>
  <c r="N333" i="4"/>
  <c r="M333" i="4"/>
  <c r="D333" i="4"/>
  <c r="C333" i="4"/>
  <c r="N332" i="4"/>
  <c r="M332" i="4"/>
  <c r="O332" i="4" s="1"/>
  <c r="D332" i="4"/>
  <c r="C332" i="4"/>
  <c r="N331" i="4"/>
  <c r="M331" i="4"/>
  <c r="O331" i="4" s="1"/>
  <c r="D331" i="4"/>
  <c r="C331" i="4"/>
  <c r="O330" i="4"/>
  <c r="N330" i="4"/>
  <c r="M330" i="4"/>
  <c r="D330" i="4"/>
  <c r="C330" i="4"/>
  <c r="O329" i="4"/>
  <c r="N329" i="4"/>
  <c r="M329" i="4"/>
  <c r="D329" i="4"/>
  <c r="C329" i="4"/>
  <c r="O328" i="4"/>
  <c r="N328" i="4"/>
  <c r="M328" i="4"/>
  <c r="D328" i="4"/>
  <c r="C328" i="4"/>
  <c r="N327" i="4"/>
  <c r="M327" i="4"/>
  <c r="O327" i="4" s="1"/>
  <c r="D327" i="4"/>
  <c r="C327" i="4"/>
  <c r="N326" i="4"/>
  <c r="M326" i="4"/>
  <c r="O326" i="4" s="1"/>
  <c r="D326" i="4"/>
  <c r="C326" i="4"/>
  <c r="O325" i="4"/>
  <c r="N325" i="4"/>
  <c r="M325" i="4"/>
  <c r="D325" i="4"/>
  <c r="C325" i="4"/>
  <c r="N324" i="4"/>
  <c r="M324" i="4"/>
  <c r="O324" i="4" s="1"/>
  <c r="D324" i="4"/>
  <c r="C324" i="4"/>
  <c r="N323" i="4"/>
  <c r="M323" i="4"/>
  <c r="O323" i="4" s="1"/>
  <c r="D323" i="4"/>
  <c r="C323" i="4"/>
  <c r="N322" i="4"/>
  <c r="O322" i="4" s="1"/>
  <c r="M322" i="4"/>
  <c r="D322" i="4"/>
  <c r="C322" i="4"/>
  <c r="O321" i="4"/>
  <c r="N321" i="4"/>
  <c r="M321" i="4"/>
  <c r="D321" i="4"/>
  <c r="C321" i="4"/>
  <c r="N320" i="4"/>
  <c r="M320" i="4"/>
  <c r="O320" i="4" s="1"/>
  <c r="D320" i="4"/>
  <c r="C320" i="4"/>
  <c r="O319" i="4"/>
  <c r="N319" i="4"/>
  <c r="M319" i="4"/>
  <c r="D319" i="4"/>
  <c r="C319" i="4"/>
  <c r="N318" i="4"/>
  <c r="O318" i="4" s="1"/>
  <c r="M318" i="4"/>
  <c r="D318" i="4"/>
  <c r="C318" i="4"/>
  <c r="N317" i="4"/>
  <c r="M317" i="4"/>
  <c r="O317" i="4" s="1"/>
  <c r="D317" i="4"/>
  <c r="C317" i="4"/>
  <c r="O316" i="4"/>
  <c r="N316" i="4"/>
  <c r="M316" i="4"/>
  <c r="D316" i="4"/>
  <c r="C316" i="4"/>
  <c r="N315" i="4"/>
  <c r="M315" i="4"/>
  <c r="O315" i="4" s="1"/>
  <c r="D315" i="4"/>
  <c r="C315" i="4"/>
  <c r="N314" i="4"/>
  <c r="M314" i="4"/>
  <c r="D314" i="4"/>
  <c r="C314" i="4"/>
  <c r="O313" i="4"/>
  <c r="N313" i="4"/>
  <c r="M313" i="4"/>
  <c r="D313" i="4"/>
  <c r="C313" i="4"/>
  <c r="N312" i="4"/>
  <c r="M312" i="4"/>
  <c r="O312" i="4" s="1"/>
  <c r="D312" i="4"/>
  <c r="C312" i="4"/>
  <c r="N311" i="4"/>
  <c r="M311" i="4"/>
  <c r="O311" i="4" s="1"/>
  <c r="D311" i="4"/>
  <c r="C311" i="4"/>
  <c r="N310" i="4"/>
  <c r="O310" i="4" s="1"/>
  <c r="M310" i="4"/>
  <c r="D310" i="4"/>
  <c r="C310" i="4"/>
  <c r="N309" i="4"/>
  <c r="M309" i="4"/>
  <c r="O309" i="4" s="1"/>
  <c r="D309" i="4"/>
  <c r="C309" i="4"/>
  <c r="N308" i="4"/>
  <c r="M308" i="4"/>
  <c r="O308" i="4" s="1"/>
  <c r="D308" i="4"/>
  <c r="C308" i="4"/>
  <c r="N307" i="4"/>
  <c r="M307" i="4"/>
  <c r="O307" i="4" s="1"/>
  <c r="D307" i="4"/>
  <c r="C307" i="4"/>
  <c r="O306" i="4"/>
  <c r="N306" i="4"/>
  <c r="M306" i="4"/>
  <c r="D306" i="4"/>
  <c r="C306" i="4"/>
  <c r="N305" i="4"/>
  <c r="M305" i="4"/>
  <c r="O305" i="4" s="1"/>
  <c r="D305" i="4"/>
  <c r="C305" i="4"/>
  <c r="N304" i="4"/>
  <c r="M304" i="4"/>
  <c r="O304" i="4" s="1"/>
  <c r="D304" i="4"/>
  <c r="C304" i="4"/>
  <c r="N303" i="4"/>
  <c r="M303" i="4"/>
  <c r="O303" i="4" s="1"/>
  <c r="D303" i="4"/>
  <c r="C303" i="4"/>
  <c r="N302" i="4"/>
  <c r="M302" i="4"/>
  <c r="O302" i="4" s="1"/>
  <c r="D302" i="4"/>
  <c r="C302" i="4"/>
  <c r="O301" i="4"/>
  <c r="N301" i="4"/>
  <c r="M301" i="4"/>
  <c r="D301" i="4"/>
  <c r="C301" i="4"/>
  <c r="N300" i="4"/>
  <c r="M300" i="4"/>
  <c r="D300" i="4"/>
  <c r="C300" i="4"/>
  <c r="O299" i="4"/>
  <c r="N299" i="4"/>
  <c r="M299" i="4"/>
  <c r="D299" i="4"/>
  <c r="C299" i="4"/>
  <c r="N298" i="4"/>
  <c r="O298" i="4" s="1"/>
  <c r="M298" i="4"/>
  <c r="D298" i="4"/>
  <c r="C298" i="4"/>
  <c r="N297" i="4"/>
  <c r="M297" i="4"/>
  <c r="O297" i="4" s="1"/>
  <c r="D297" i="4"/>
  <c r="C297" i="4"/>
  <c r="N296" i="4"/>
  <c r="M296" i="4"/>
  <c r="O296" i="4" s="1"/>
  <c r="D296" i="4"/>
  <c r="C296" i="4"/>
  <c r="N295" i="4"/>
  <c r="M295" i="4"/>
  <c r="O295" i="4" s="1"/>
  <c r="D295" i="4"/>
  <c r="C295" i="4"/>
  <c r="N294" i="4"/>
  <c r="O294" i="4" s="1"/>
  <c r="M294" i="4"/>
  <c r="D294" i="4"/>
  <c r="C294" i="4"/>
  <c r="O293" i="4"/>
  <c r="N293" i="4"/>
  <c r="M293" i="4"/>
  <c r="D293" i="4"/>
  <c r="C293" i="4"/>
  <c r="N292" i="4"/>
  <c r="M292" i="4"/>
  <c r="O292" i="4" s="1"/>
  <c r="D292" i="4"/>
  <c r="C292" i="4"/>
  <c r="N291" i="4"/>
  <c r="M291" i="4"/>
  <c r="O291" i="4" s="1"/>
  <c r="D291" i="4"/>
  <c r="C291" i="4"/>
  <c r="N290" i="4"/>
  <c r="M290" i="4"/>
  <c r="O290" i="4" s="1"/>
  <c r="D290" i="4"/>
  <c r="C290" i="4"/>
  <c r="O289" i="4"/>
  <c r="N289" i="4"/>
  <c r="M289" i="4"/>
  <c r="D289" i="4"/>
  <c r="C289" i="4"/>
  <c r="N288" i="4"/>
  <c r="M288" i="4"/>
  <c r="O288" i="4" s="1"/>
  <c r="D288" i="4"/>
  <c r="C288" i="4"/>
  <c r="O287" i="4"/>
  <c r="N287" i="4"/>
  <c r="M287" i="4"/>
  <c r="D287" i="4"/>
  <c r="C287" i="4"/>
  <c r="N286" i="4"/>
  <c r="O286" i="4" s="1"/>
  <c r="M286" i="4"/>
  <c r="D286" i="4"/>
  <c r="C286" i="4"/>
  <c r="O285" i="4"/>
  <c r="N285" i="4"/>
  <c r="M285" i="4"/>
  <c r="D285" i="4"/>
  <c r="C285" i="4"/>
  <c r="N284" i="4"/>
  <c r="M284" i="4"/>
  <c r="O284" i="4" s="1"/>
  <c r="D284" i="4"/>
  <c r="C284" i="4"/>
  <c r="O283" i="4"/>
  <c r="N283" i="4"/>
  <c r="M283" i="4"/>
  <c r="D283" i="4"/>
  <c r="C283" i="4"/>
  <c r="N282" i="4"/>
  <c r="O282" i="4" s="1"/>
  <c r="M282" i="4"/>
  <c r="D282" i="4"/>
  <c r="C282" i="4"/>
  <c r="N281" i="4"/>
  <c r="M281" i="4"/>
  <c r="O281" i="4" s="1"/>
  <c r="D281" i="4"/>
  <c r="C281" i="4"/>
  <c r="O280" i="4"/>
  <c r="N280" i="4"/>
  <c r="M280" i="4"/>
  <c r="D280" i="4"/>
  <c r="C280" i="4"/>
  <c r="N279" i="4"/>
  <c r="M279" i="4"/>
  <c r="O279" i="4" s="1"/>
  <c r="D279" i="4"/>
  <c r="C279" i="4"/>
  <c r="N278" i="4"/>
  <c r="M278" i="4"/>
  <c r="O278" i="4" s="1"/>
  <c r="D278" i="4"/>
  <c r="C278" i="4"/>
  <c r="O277" i="4"/>
  <c r="N277" i="4"/>
  <c r="M277" i="4"/>
  <c r="D277" i="4"/>
  <c r="C277" i="4"/>
  <c r="N276" i="4"/>
  <c r="M276" i="4"/>
  <c r="O276" i="4" s="1"/>
  <c r="D276" i="4"/>
  <c r="C276" i="4"/>
  <c r="N275" i="4"/>
  <c r="M275" i="4"/>
  <c r="O275" i="4" s="1"/>
  <c r="D275" i="4"/>
  <c r="C275" i="4"/>
  <c r="N274" i="4"/>
  <c r="O274" i="4" s="1"/>
  <c r="M274" i="4"/>
  <c r="D274" i="4"/>
  <c r="C274" i="4"/>
  <c r="N273" i="4"/>
  <c r="M273" i="4"/>
  <c r="O273" i="4" s="1"/>
  <c r="D273" i="4"/>
  <c r="C273" i="4"/>
  <c r="N272" i="4"/>
  <c r="M272" i="4"/>
  <c r="O272" i="4" s="1"/>
  <c r="D272" i="4"/>
  <c r="C272" i="4"/>
  <c r="N271" i="4"/>
  <c r="M271" i="4"/>
  <c r="O271" i="4" s="1"/>
  <c r="D271" i="4"/>
  <c r="C271" i="4"/>
  <c r="N270" i="4"/>
  <c r="O270" i="4" s="1"/>
  <c r="M270" i="4"/>
  <c r="D270" i="4"/>
  <c r="C270" i="4"/>
  <c r="N269" i="4"/>
  <c r="M269" i="4"/>
  <c r="O269" i="4" s="1"/>
  <c r="D269" i="4"/>
  <c r="C269" i="4"/>
  <c r="N268" i="4"/>
  <c r="M268" i="4"/>
  <c r="O268" i="4" s="1"/>
  <c r="D268" i="4"/>
  <c r="C268" i="4"/>
  <c r="N267" i="4"/>
  <c r="M267" i="4"/>
  <c r="O267" i="4" s="1"/>
  <c r="D267" i="4"/>
  <c r="C267" i="4"/>
  <c r="N266" i="4"/>
  <c r="M266" i="4"/>
  <c r="O266" i="4" s="1"/>
  <c r="D266" i="4"/>
  <c r="C266" i="4"/>
  <c r="O265" i="4"/>
  <c r="N265" i="4"/>
  <c r="M265" i="4"/>
  <c r="D265" i="4"/>
  <c r="C265" i="4"/>
  <c r="N264" i="4"/>
  <c r="M264" i="4"/>
  <c r="D264" i="4"/>
  <c r="C264" i="4"/>
  <c r="N263" i="4"/>
  <c r="M263" i="4"/>
  <c r="O263" i="4" s="1"/>
  <c r="D263" i="4"/>
  <c r="C263" i="4"/>
  <c r="N262" i="4"/>
  <c r="O262" i="4" s="1"/>
  <c r="M262" i="4"/>
  <c r="D262" i="4"/>
  <c r="C262" i="4"/>
  <c r="N261" i="4"/>
  <c r="M261" i="4"/>
  <c r="O261" i="4" s="1"/>
  <c r="D261" i="4"/>
  <c r="C261" i="4"/>
  <c r="N260" i="4"/>
  <c r="M260" i="4"/>
  <c r="O260" i="4" s="1"/>
  <c r="D260" i="4"/>
  <c r="C260" i="4"/>
  <c r="O259" i="4"/>
  <c r="N259" i="4"/>
  <c r="M259" i="4"/>
  <c r="D259" i="4"/>
  <c r="C259" i="4"/>
  <c r="N258" i="4"/>
  <c r="O258" i="4" s="1"/>
  <c r="M258" i="4"/>
  <c r="D258" i="4"/>
  <c r="C258" i="4"/>
  <c r="O257" i="4"/>
  <c r="N257" i="4"/>
  <c r="M257" i="4"/>
  <c r="D257" i="4"/>
  <c r="C257" i="4"/>
  <c r="N256" i="4"/>
  <c r="M256" i="4"/>
  <c r="O256" i="4" s="1"/>
  <c r="D256" i="4"/>
  <c r="C256" i="4"/>
  <c r="N255" i="4"/>
  <c r="M255" i="4"/>
  <c r="O255" i="4" s="1"/>
  <c r="D255" i="4"/>
  <c r="C255" i="4"/>
  <c r="N254" i="4"/>
  <c r="M254" i="4"/>
  <c r="O254" i="4" s="1"/>
  <c r="D254" i="4"/>
  <c r="C254" i="4"/>
  <c r="O253" i="4"/>
  <c r="N253" i="4"/>
  <c r="M253" i="4"/>
  <c r="D253" i="4"/>
  <c r="C253" i="4"/>
  <c r="N252" i="4"/>
  <c r="M252" i="4"/>
  <c r="D252" i="4"/>
  <c r="C252" i="4"/>
  <c r="O251" i="4"/>
  <c r="N251" i="4"/>
  <c r="M251" i="4"/>
  <c r="D251" i="4"/>
  <c r="C251" i="4"/>
  <c r="N250" i="4"/>
  <c r="O250" i="4" s="1"/>
  <c r="M250" i="4"/>
  <c r="D250" i="4"/>
  <c r="C250" i="4"/>
  <c r="N249" i="4"/>
  <c r="O249" i="4" s="1"/>
  <c r="M249" i="4"/>
  <c r="D249" i="4"/>
  <c r="C249" i="4"/>
  <c r="N248" i="4"/>
  <c r="M248" i="4"/>
  <c r="O248" i="4" s="1"/>
  <c r="D248" i="4"/>
  <c r="C248" i="4"/>
  <c r="N247" i="4"/>
  <c r="M247" i="4"/>
  <c r="O247" i="4" s="1"/>
  <c r="D247" i="4"/>
  <c r="C247" i="4"/>
  <c r="N246" i="4"/>
  <c r="O246" i="4" s="1"/>
  <c r="M246" i="4"/>
  <c r="D246" i="4"/>
  <c r="C246" i="4"/>
  <c r="N245" i="4"/>
  <c r="M245" i="4"/>
  <c r="O245" i="4" s="1"/>
  <c r="D245" i="4"/>
  <c r="C245" i="4"/>
  <c r="N244" i="4"/>
  <c r="O244" i="4" s="1"/>
  <c r="M244" i="4"/>
  <c r="D244" i="4"/>
  <c r="C244" i="4"/>
  <c r="N243" i="4"/>
  <c r="M243" i="4"/>
  <c r="O243" i="4" s="1"/>
  <c r="D243" i="4"/>
  <c r="C243" i="4"/>
  <c r="N242" i="4"/>
  <c r="M242" i="4"/>
  <c r="O242" i="4" s="1"/>
  <c r="D242" i="4"/>
  <c r="C242" i="4"/>
  <c r="O241" i="4"/>
  <c r="N241" i="4"/>
  <c r="M241" i="4"/>
  <c r="D241" i="4"/>
  <c r="C241" i="4"/>
  <c r="N240" i="4"/>
  <c r="M240" i="4"/>
  <c r="D240" i="4"/>
  <c r="C240" i="4"/>
  <c r="N239" i="4"/>
  <c r="M239" i="4"/>
  <c r="O239" i="4" s="1"/>
  <c r="D239" i="4"/>
  <c r="C239" i="4"/>
  <c r="N238" i="4"/>
  <c r="O238" i="4" s="1"/>
  <c r="M238" i="4"/>
  <c r="D238" i="4"/>
  <c r="C238" i="4"/>
  <c r="N237" i="4"/>
  <c r="M237" i="4"/>
  <c r="O237" i="4" s="1"/>
  <c r="D237" i="4"/>
  <c r="C237" i="4"/>
  <c r="N236" i="4"/>
  <c r="M236" i="4"/>
  <c r="O236" i="4" s="1"/>
  <c r="D236" i="4"/>
  <c r="C236" i="4"/>
  <c r="N235" i="4"/>
  <c r="M235" i="4"/>
  <c r="O235" i="4" s="1"/>
  <c r="D235" i="4"/>
  <c r="C235" i="4"/>
  <c r="N234" i="4"/>
  <c r="O234" i="4" s="1"/>
  <c r="M234" i="4"/>
  <c r="D234" i="4"/>
  <c r="C234" i="4"/>
  <c r="O233" i="4"/>
  <c r="N233" i="4"/>
  <c r="M233" i="4"/>
  <c r="D233" i="4"/>
  <c r="C233" i="4"/>
  <c r="N232" i="4"/>
  <c r="M232" i="4"/>
  <c r="O232" i="4" s="1"/>
  <c r="D232" i="4"/>
  <c r="C232" i="4"/>
  <c r="N231" i="4"/>
  <c r="M231" i="4"/>
  <c r="O231" i="4" s="1"/>
  <c r="D231" i="4"/>
  <c r="C231" i="4"/>
  <c r="N230" i="4"/>
  <c r="M230" i="4"/>
  <c r="D230" i="4"/>
  <c r="C230" i="4"/>
  <c r="O229" i="4"/>
  <c r="N229" i="4"/>
  <c r="M229" i="4"/>
  <c r="D229" i="4"/>
  <c r="C229" i="4"/>
  <c r="N228" i="4"/>
  <c r="M228" i="4"/>
  <c r="D228" i="4"/>
  <c r="C228" i="4"/>
  <c r="N227" i="4"/>
  <c r="M227" i="4"/>
  <c r="O227" i="4" s="1"/>
  <c r="D227" i="4"/>
  <c r="C227" i="4"/>
  <c r="N226" i="4"/>
  <c r="O226" i="4" s="1"/>
  <c r="M226" i="4"/>
  <c r="D226" i="4"/>
  <c r="C226" i="4"/>
  <c r="N225" i="4"/>
  <c r="O225" i="4" s="1"/>
  <c r="M225" i="4"/>
  <c r="D225" i="4"/>
  <c r="C225" i="4"/>
  <c r="N224" i="4"/>
  <c r="M224" i="4"/>
  <c r="O224" i="4" s="1"/>
  <c r="D224" i="4"/>
  <c r="C224" i="4"/>
  <c r="O223" i="4"/>
  <c r="N223" i="4"/>
  <c r="M223" i="4"/>
  <c r="D223" i="4"/>
  <c r="C223" i="4"/>
  <c r="O222" i="4"/>
  <c r="N222" i="4"/>
  <c r="M222" i="4"/>
  <c r="D222" i="4"/>
  <c r="C222" i="4"/>
  <c r="N221" i="4"/>
  <c r="M221" i="4"/>
  <c r="O221" i="4" s="1"/>
  <c r="D221" i="4"/>
  <c r="C221" i="4"/>
  <c r="N220" i="4"/>
  <c r="O220" i="4" s="1"/>
  <c r="M220" i="4"/>
  <c r="D220" i="4"/>
  <c r="C220" i="4"/>
  <c r="N219" i="4"/>
  <c r="M219" i="4"/>
  <c r="O219" i="4" s="1"/>
  <c r="D219" i="4"/>
  <c r="C219" i="4"/>
  <c r="N218" i="4"/>
  <c r="M218" i="4"/>
  <c r="D218" i="4"/>
  <c r="C218" i="4"/>
  <c r="O217" i="4"/>
  <c r="N217" i="4"/>
  <c r="M217" i="4"/>
  <c r="D217" i="4"/>
  <c r="C217" i="4"/>
  <c r="N216" i="4"/>
  <c r="M216" i="4"/>
  <c r="O216" i="4" s="1"/>
  <c r="D216" i="4"/>
  <c r="C216" i="4"/>
  <c r="N215" i="4"/>
  <c r="O215" i="4" s="1"/>
  <c r="M215" i="4"/>
  <c r="D215" i="4"/>
  <c r="C215" i="4"/>
  <c r="N214" i="4"/>
  <c r="O214" i="4" s="1"/>
  <c r="M214" i="4"/>
  <c r="D214" i="4"/>
  <c r="C214" i="4"/>
  <c r="N213" i="4"/>
  <c r="M213" i="4"/>
  <c r="O213" i="4" s="1"/>
  <c r="D213" i="4"/>
  <c r="C213" i="4"/>
  <c r="N212" i="4"/>
  <c r="M212" i="4"/>
  <c r="O212" i="4" s="1"/>
  <c r="D212" i="4"/>
  <c r="C212" i="4"/>
  <c r="O211" i="4"/>
  <c r="N211" i="4"/>
  <c r="M211" i="4"/>
  <c r="D211" i="4"/>
  <c r="C211" i="4"/>
  <c r="O210" i="4"/>
  <c r="N210" i="4"/>
  <c r="M210" i="4"/>
  <c r="D210" i="4"/>
  <c r="C210" i="4"/>
  <c r="N209" i="4"/>
  <c r="M209" i="4"/>
  <c r="O209" i="4" s="1"/>
  <c r="D209" i="4"/>
  <c r="C209" i="4"/>
  <c r="N208" i="4"/>
  <c r="M208" i="4"/>
  <c r="O208" i="4" s="1"/>
  <c r="D208" i="4"/>
  <c r="C208" i="4"/>
  <c r="N207" i="4"/>
  <c r="M207" i="4"/>
  <c r="O207" i="4" s="1"/>
  <c r="D207" i="4"/>
  <c r="C207" i="4"/>
  <c r="N206" i="4"/>
  <c r="M206" i="4"/>
  <c r="D206" i="4"/>
  <c r="C206" i="4"/>
  <c r="O205" i="4"/>
  <c r="N205" i="4"/>
  <c r="M205" i="4"/>
  <c r="D205" i="4"/>
  <c r="C205" i="4"/>
  <c r="N204" i="4"/>
  <c r="M204" i="4"/>
  <c r="D204" i="4"/>
  <c r="C204" i="4"/>
  <c r="N203" i="4"/>
  <c r="M203" i="4"/>
  <c r="O203" i="4" s="1"/>
  <c r="D203" i="4"/>
  <c r="C203" i="4"/>
  <c r="N202" i="4"/>
  <c r="O202" i="4" s="1"/>
  <c r="M202" i="4"/>
  <c r="D202" i="4"/>
  <c r="C202" i="4"/>
  <c r="N201" i="4"/>
  <c r="M201" i="4"/>
  <c r="O201" i="4" s="1"/>
  <c r="D201" i="4"/>
  <c r="C201" i="4"/>
  <c r="N200" i="4"/>
  <c r="M200" i="4"/>
  <c r="O200" i="4" s="1"/>
  <c r="D200" i="4"/>
  <c r="C200" i="4"/>
  <c r="N199" i="4"/>
  <c r="M199" i="4"/>
  <c r="O199" i="4" s="1"/>
  <c r="D199" i="4"/>
  <c r="C199" i="4"/>
  <c r="O198" i="4"/>
  <c r="N198" i="4"/>
  <c r="M198" i="4"/>
  <c r="D198" i="4"/>
  <c r="C198" i="4"/>
  <c r="O197" i="4"/>
  <c r="N197" i="4"/>
  <c r="M197" i="4"/>
  <c r="D197" i="4"/>
  <c r="C197" i="4"/>
  <c r="N196" i="4"/>
  <c r="M196" i="4"/>
  <c r="O196" i="4" s="1"/>
  <c r="D196" i="4"/>
  <c r="C196" i="4"/>
  <c r="N195" i="4"/>
  <c r="M195" i="4"/>
  <c r="O195" i="4" s="1"/>
  <c r="D195" i="4"/>
  <c r="C195" i="4"/>
  <c r="N194" i="4"/>
  <c r="M194" i="4"/>
  <c r="D194" i="4"/>
  <c r="C194" i="4"/>
  <c r="O193" i="4"/>
  <c r="N193" i="4"/>
  <c r="M193" i="4"/>
  <c r="D193" i="4"/>
  <c r="C193" i="4"/>
  <c r="N192" i="4"/>
  <c r="M192" i="4"/>
  <c r="O192" i="4" s="1"/>
  <c r="D192" i="4"/>
  <c r="C192" i="4"/>
  <c r="N191" i="4"/>
  <c r="O191" i="4" s="1"/>
  <c r="M191" i="4"/>
  <c r="D191" i="4"/>
  <c r="C191" i="4"/>
  <c r="N190" i="4"/>
  <c r="O190" i="4" s="1"/>
  <c r="M190" i="4"/>
  <c r="D190" i="4"/>
  <c r="C190" i="4"/>
  <c r="O189" i="4"/>
  <c r="N189" i="4"/>
  <c r="M189" i="4"/>
  <c r="D189" i="4"/>
  <c r="C189" i="4"/>
  <c r="N188" i="4"/>
  <c r="M188" i="4"/>
  <c r="O188" i="4" s="1"/>
  <c r="D188" i="4"/>
  <c r="C188" i="4"/>
  <c r="N187" i="4"/>
  <c r="M187" i="4"/>
  <c r="O187" i="4" s="1"/>
  <c r="D187" i="4"/>
  <c r="C187" i="4"/>
  <c r="O186" i="4"/>
  <c r="N186" i="4"/>
  <c r="M186" i="4"/>
  <c r="D186" i="4"/>
  <c r="C186" i="4"/>
  <c r="O185" i="4"/>
  <c r="N185" i="4"/>
  <c r="M185" i="4"/>
  <c r="D185" i="4"/>
  <c r="C185" i="4"/>
  <c r="O184" i="4"/>
  <c r="N184" i="4"/>
  <c r="M184" i="4"/>
  <c r="D184" i="4"/>
  <c r="C184" i="4"/>
  <c r="N183" i="4"/>
  <c r="M183" i="4"/>
  <c r="O183" i="4" s="1"/>
  <c r="D183" i="4"/>
  <c r="C183" i="4"/>
  <c r="N182" i="4"/>
  <c r="M182" i="4"/>
  <c r="O182" i="4" s="1"/>
  <c r="D182" i="4"/>
  <c r="C182" i="4"/>
  <c r="O181" i="4"/>
  <c r="N181" i="4"/>
  <c r="M181" i="4"/>
  <c r="D181" i="4"/>
  <c r="C181" i="4"/>
  <c r="N180" i="4"/>
  <c r="M180" i="4"/>
  <c r="O180" i="4" s="1"/>
  <c r="D180" i="4"/>
  <c r="C180" i="4"/>
  <c r="N179" i="4"/>
  <c r="M179" i="4"/>
  <c r="O179" i="4" s="1"/>
  <c r="D179" i="4"/>
  <c r="C179" i="4"/>
  <c r="N178" i="4"/>
  <c r="O178" i="4" s="1"/>
  <c r="M178" i="4"/>
  <c r="D178" i="4"/>
  <c r="C178" i="4"/>
  <c r="O177" i="4"/>
  <c r="N177" i="4"/>
  <c r="M177" i="4"/>
  <c r="D177" i="4"/>
  <c r="C177" i="4"/>
  <c r="N176" i="4"/>
  <c r="M176" i="4"/>
  <c r="O176" i="4" s="1"/>
  <c r="D176" i="4"/>
  <c r="C176" i="4"/>
  <c r="O175" i="4"/>
  <c r="N175" i="4"/>
  <c r="M175" i="4"/>
  <c r="D175" i="4"/>
  <c r="C175" i="4"/>
  <c r="N174" i="4"/>
  <c r="O174" i="4" s="1"/>
  <c r="M174" i="4"/>
  <c r="D174" i="4"/>
  <c r="C174" i="4"/>
  <c r="N173" i="4"/>
  <c r="M173" i="4"/>
  <c r="O173" i="4" s="1"/>
  <c r="D173" i="4"/>
  <c r="C173" i="4"/>
  <c r="O172" i="4"/>
  <c r="N172" i="4"/>
  <c r="M172" i="4"/>
  <c r="D172" i="4"/>
  <c r="C172" i="4"/>
  <c r="N171" i="4"/>
  <c r="M171" i="4"/>
  <c r="O171" i="4" s="1"/>
  <c r="D171" i="4"/>
  <c r="C171" i="4"/>
  <c r="N170" i="4"/>
  <c r="M170" i="4"/>
  <c r="D170" i="4"/>
  <c r="C170" i="4"/>
  <c r="O169" i="4"/>
  <c r="N169" i="4"/>
  <c r="M169" i="4"/>
  <c r="D169" i="4"/>
  <c r="C169" i="4"/>
  <c r="N168" i="4"/>
  <c r="M168" i="4"/>
  <c r="O168" i="4" s="1"/>
  <c r="D168" i="4"/>
  <c r="C168" i="4"/>
  <c r="N167" i="4"/>
  <c r="M167" i="4"/>
  <c r="O167" i="4" s="1"/>
  <c r="D167" i="4"/>
  <c r="C167" i="4"/>
  <c r="N166" i="4"/>
  <c r="O166" i="4" s="1"/>
  <c r="M166" i="4"/>
  <c r="D166" i="4"/>
  <c r="C166" i="4"/>
  <c r="N165" i="4"/>
  <c r="M165" i="4"/>
  <c r="O165" i="4" s="1"/>
  <c r="D165" i="4"/>
  <c r="C165" i="4"/>
  <c r="N164" i="4"/>
  <c r="M164" i="4"/>
  <c r="O164" i="4" s="1"/>
  <c r="D164" i="4"/>
  <c r="C164" i="4"/>
  <c r="N163" i="4"/>
  <c r="M163" i="4"/>
  <c r="O163" i="4" s="1"/>
  <c r="D163" i="4"/>
  <c r="C163" i="4"/>
  <c r="O162" i="4"/>
  <c r="N162" i="4"/>
  <c r="M162" i="4"/>
  <c r="D162" i="4"/>
  <c r="C162" i="4"/>
  <c r="N161" i="4"/>
  <c r="M161" i="4"/>
  <c r="O161" i="4" s="1"/>
  <c r="D161" i="4"/>
  <c r="C161" i="4"/>
  <c r="N160" i="4"/>
  <c r="M160" i="4"/>
  <c r="O160" i="4" s="1"/>
  <c r="D160" i="4"/>
  <c r="C160" i="4"/>
  <c r="N159" i="4"/>
  <c r="M159" i="4"/>
  <c r="O159" i="4" s="1"/>
  <c r="D159" i="4"/>
  <c r="C159" i="4"/>
  <c r="N158" i="4"/>
  <c r="M158" i="4"/>
  <c r="O158" i="4" s="1"/>
  <c r="D158" i="4"/>
  <c r="C158" i="4"/>
  <c r="O157" i="4"/>
  <c r="N157" i="4"/>
  <c r="M157" i="4"/>
  <c r="D157" i="4"/>
  <c r="C157" i="4"/>
  <c r="N156" i="4"/>
  <c r="M156" i="4"/>
  <c r="D156" i="4"/>
  <c r="C156" i="4"/>
  <c r="O155" i="4"/>
  <c r="N155" i="4"/>
  <c r="M155" i="4"/>
  <c r="D155" i="4"/>
  <c r="C155" i="4"/>
  <c r="N154" i="4"/>
  <c r="O154" i="4" s="1"/>
  <c r="M154" i="4"/>
  <c r="D154" i="4"/>
  <c r="C154" i="4"/>
  <c r="N153" i="4"/>
  <c r="M153" i="4"/>
  <c r="O153" i="4" s="1"/>
  <c r="D153" i="4"/>
  <c r="C153" i="4"/>
  <c r="N152" i="4"/>
  <c r="M152" i="4"/>
  <c r="O152" i="4" s="1"/>
  <c r="D152" i="4"/>
  <c r="C152" i="4"/>
  <c r="N151" i="4"/>
  <c r="M151" i="4"/>
  <c r="O151" i="4" s="1"/>
  <c r="D151" i="4"/>
  <c r="C151" i="4"/>
  <c r="N150" i="4"/>
  <c r="O150" i="4" s="1"/>
  <c r="M150" i="4"/>
  <c r="D150" i="4"/>
  <c r="C150" i="4"/>
  <c r="O149" i="4"/>
  <c r="N149" i="4"/>
  <c r="M149" i="4"/>
  <c r="D149" i="4"/>
  <c r="C149" i="4"/>
  <c r="N148" i="4"/>
  <c r="M148" i="4"/>
  <c r="O148" i="4" s="1"/>
  <c r="D148" i="4"/>
  <c r="C148" i="4"/>
  <c r="N147" i="4"/>
  <c r="M147" i="4"/>
  <c r="O147" i="4" s="1"/>
  <c r="D147" i="4"/>
  <c r="C147" i="4"/>
  <c r="N146" i="4"/>
  <c r="M146" i="4"/>
  <c r="O146" i="4" s="1"/>
  <c r="D146" i="4"/>
  <c r="C146" i="4"/>
  <c r="O145" i="4"/>
  <c r="N145" i="4"/>
  <c r="M145" i="4"/>
  <c r="D145" i="4"/>
  <c r="C145" i="4"/>
  <c r="N144" i="4"/>
  <c r="M144" i="4"/>
  <c r="O144" i="4" s="1"/>
  <c r="D144" i="4"/>
  <c r="C144" i="4"/>
  <c r="O143" i="4"/>
  <c r="N143" i="4"/>
  <c r="M143" i="4"/>
  <c r="D143" i="4"/>
  <c r="C143" i="4"/>
  <c r="N142" i="4"/>
  <c r="O142" i="4" s="1"/>
  <c r="M142" i="4"/>
  <c r="D142" i="4"/>
  <c r="C142" i="4"/>
  <c r="O141" i="4"/>
  <c r="N141" i="4"/>
  <c r="M141" i="4"/>
  <c r="D141" i="4"/>
  <c r="C141" i="4"/>
  <c r="N140" i="4"/>
  <c r="M140" i="4"/>
  <c r="O140" i="4" s="1"/>
  <c r="D140" i="4"/>
  <c r="C140" i="4"/>
  <c r="O139" i="4"/>
  <c r="N139" i="4"/>
  <c r="M139" i="4"/>
  <c r="D139" i="4"/>
  <c r="C139" i="4"/>
  <c r="N138" i="4"/>
  <c r="O138" i="4" s="1"/>
  <c r="M138" i="4"/>
  <c r="D138" i="4"/>
  <c r="C138" i="4"/>
  <c r="N137" i="4"/>
  <c r="M137" i="4"/>
  <c r="O137" i="4" s="1"/>
  <c r="D137" i="4"/>
  <c r="C137" i="4"/>
  <c r="O136" i="4"/>
  <c r="N136" i="4"/>
  <c r="M136" i="4"/>
  <c r="D136" i="4"/>
  <c r="C136" i="4"/>
  <c r="N135" i="4"/>
  <c r="M135" i="4"/>
  <c r="O135" i="4" s="1"/>
  <c r="D135" i="4"/>
  <c r="C135" i="4"/>
  <c r="N134" i="4"/>
  <c r="M134" i="4"/>
  <c r="O134" i="4" s="1"/>
  <c r="D134" i="4"/>
  <c r="C134" i="4"/>
  <c r="O133" i="4"/>
  <c r="N133" i="4"/>
  <c r="M133" i="4"/>
  <c r="D133" i="4"/>
  <c r="C133" i="4"/>
  <c r="N132" i="4"/>
  <c r="M132" i="4"/>
  <c r="O132" i="4" s="1"/>
  <c r="D132" i="4"/>
  <c r="C132" i="4"/>
  <c r="N131" i="4"/>
  <c r="M131" i="4"/>
  <c r="O131" i="4" s="1"/>
  <c r="D131" i="4"/>
  <c r="C131" i="4"/>
  <c r="N130" i="4"/>
  <c r="O130" i="4" s="1"/>
  <c r="M130" i="4"/>
  <c r="D130" i="4"/>
  <c r="C130" i="4"/>
  <c r="N129" i="4"/>
  <c r="M129" i="4"/>
  <c r="O129" i="4" s="1"/>
  <c r="D129" i="4"/>
  <c r="C129" i="4"/>
  <c r="N128" i="4"/>
  <c r="M128" i="4"/>
  <c r="O128" i="4" s="1"/>
  <c r="D128" i="4"/>
  <c r="C128" i="4"/>
  <c r="N127" i="4"/>
  <c r="M127" i="4"/>
  <c r="O127" i="4" s="1"/>
  <c r="D127" i="4"/>
  <c r="C127" i="4"/>
  <c r="N126" i="4"/>
  <c r="O126" i="4" s="1"/>
  <c r="M126" i="4"/>
  <c r="D126" i="4"/>
  <c r="C126" i="4"/>
  <c r="N125" i="4"/>
  <c r="M125" i="4"/>
  <c r="O125" i="4" s="1"/>
  <c r="D125" i="4"/>
  <c r="C125" i="4"/>
  <c r="N124" i="4"/>
  <c r="M124" i="4"/>
  <c r="O124" i="4" s="1"/>
  <c r="D124" i="4"/>
  <c r="C124" i="4"/>
  <c r="N123" i="4"/>
  <c r="M123" i="4"/>
  <c r="O123" i="4" s="1"/>
  <c r="D123" i="4"/>
  <c r="C123" i="4"/>
  <c r="N122" i="4"/>
  <c r="M122" i="4"/>
  <c r="D122" i="4"/>
  <c r="C122" i="4"/>
  <c r="O121" i="4"/>
  <c r="N121" i="4"/>
  <c r="M121" i="4"/>
  <c r="D121" i="4"/>
  <c r="C121" i="4"/>
  <c r="N120" i="4"/>
  <c r="M120" i="4"/>
  <c r="D120" i="4"/>
  <c r="C120" i="4"/>
  <c r="N119" i="4"/>
  <c r="M119" i="4"/>
  <c r="O119" i="4" s="1"/>
  <c r="D119" i="4"/>
  <c r="C119" i="4"/>
  <c r="N118" i="4"/>
  <c r="O118" i="4" s="1"/>
  <c r="M118" i="4"/>
  <c r="D118" i="4"/>
  <c r="C118" i="4"/>
  <c r="N117" i="4"/>
  <c r="M117" i="4"/>
  <c r="O117" i="4" s="1"/>
  <c r="D117" i="4"/>
  <c r="C117" i="4"/>
  <c r="N116" i="4"/>
  <c r="M116" i="4"/>
  <c r="O116" i="4" s="1"/>
  <c r="D116" i="4"/>
  <c r="C116" i="4"/>
  <c r="O115" i="4"/>
  <c r="N115" i="4"/>
  <c r="M115" i="4"/>
  <c r="D115" i="4"/>
  <c r="C115" i="4"/>
  <c r="O114" i="4"/>
  <c r="N114" i="4"/>
  <c r="M114" i="4"/>
  <c r="D114" i="4"/>
  <c r="C114" i="4"/>
  <c r="O113" i="4"/>
  <c r="N113" i="4"/>
  <c r="M113" i="4"/>
  <c r="D113" i="4"/>
  <c r="C113" i="4"/>
  <c r="N112" i="4"/>
  <c r="M112" i="4"/>
  <c r="O112" i="4" s="1"/>
  <c r="D112" i="4"/>
  <c r="C112" i="4"/>
  <c r="N111" i="4"/>
  <c r="M111" i="4"/>
  <c r="O111" i="4" s="1"/>
  <c r="D111" i="4"/>
  <c r="C111" i="4"/>
  <c r="N110" i="4"/>
  <c r="M110" i="4"/>
  <c r="O110" i="4" s="1"/>
  <c r="D110" i="4"/>
  <c r="C110" i="4"/>
  <c r="O109" i="4"/>
  <c r="N109" i="4"/>
  <c r="M109" i="4"/>
  <c r="D109" i="4"/>
  <c r="C109" i="4"/>
  <c r="N108" i="4"/>
  <c r="M108" i="4"/>
  <c r="D108" i="4"/>
  <c r="C108" i="4"/>
  <c r="O107" i="4"/>
  <c r="N107" i="4"/>
  <c r="M107" i="4"/>
  <c r="D107" i="4"/>
  <c r="C107" i="4"/>
  <c r="N106" i="4"/>
  <c r="O106" i="4" s="1"/>
  <c r="M106" i="4"/>
  <c r="D106" i="4"/>
  <c r="C106" i="4"/>
  <c r="N105" i="4"/>
  <c r="O105" i="4" s="1"/>
  <c r="M105" i="4"/>
  <c r="D105" i="4"/>
  <c r="C105" i="4"/>
  <c r="N104" i="4"/>
  <c r="M104" i="4"/>
  <c r="O104" i="4" s="1"/>
  <c r="D104" i="4"/>
  <c r="C104" i="4"/>
  <c r="N103" i="4"/>
  <c r="M103" i="4"/>
  <c r="O103" i="4" s="1"/>
  <c r="D103" i="4"/>
  <c r="C103" i="4"/>
  <c r="N102" i="4"/>
  <c r="O102" i="4" s="1"/>
  <c r="M102" i="4"/>
  <c r="D102" i="4"/>
  <c r="C102" i="4"/>
  <c r="N101" i="4"/>
  <c r="M101" i="4"/>
  <c r="O101" i="4" s="1"/>
  <c r="D101" i="4"/>
  <c r="C101" i="4"/>
  <c r="N100" i="4"/>
  <c r="O100" i="4" s="1"/>
  <c r="M100" i="4"/>
  <c r="D100" i="4"/>
  <c r="C100" i="4"/>
  <c r="N99" i="4"/>
  <c r="M99" i="4"/>
  <c r="O99" i="4" s="1"/>
  <c r="D99" i="4"/>
  <c r="C99" i="4"/>
  <c r="N98" i="4"/>
  <c r="M98" i="4"/>
  <c r="O98" i="4" s="1"/>
  <c r="D98" i="4"/>
  <c r="C98" i="4"/>
  <c r="O97" i="4"/>
  <c r="N97" i="4"/>
  <c r="M97" i="4"/>
  <c r="D97" i="4"/>
  <c r="C97" i="4"/>
  <c r="N96" i="4"/>
  <c r="M96" i="4"/>
  <c r="D96" i="4"/>
  <c r="C96" i="4"/>
  <c r="N95" i="4"/>
  <c r="M95" i="4"/>
  <c r="O95" i="4" s="1"/>
  <c r="D95" i="4"/>
  <c r="C95" i="4"/>
  <c r="N94" i="4"/>
  <c r="O94" i="4" s="1"/>
  <c r="M94" i="4"/>
  <c r="D94" i="4"/>
  <c r="C94" i="4"/>
  <c r="N93" i="4"/>
  <c r="M93" i="4"/>
  <c r="O93" i="4" s="1"/>
  <c r="D93" i="4"/>
  <c r="C93" i="4"/>
  <c r="N92" i="4"/>
  <c r="M92" i="4"/>
  <c r="O92" i="4" s="1"/>
  <c r="D92" i="4"/>
  <c r="C92" i="4"/>
  <c r="N91" i="4"/>
  <c r="M91" i="4"/>
  <c r="O91" i="4" s="1"/>
  <c r="D91" i="4"/>
  <c r="C91" i="4"/>
  <c r="N90" i="4"/>
  <c r="O90" i="4" s="1"/>
  <c r="M90" i="4"/>
  <c r="D90" i="4"/>
  <c r="C90" i="4"/>
  <c r="O89" i="4"/>
  <c r="N89" i="4"/>
  <c r="M89" i="4"/>
  <c r="D89" i="4"/>
  <c r="C89" i="4"/>
  <c r="N88" i="4"/>
  <c r="M88" i="4"/>
  <c r="O88" i="4" s="1"/>
  <c r="D88" i="4"/>
  <c r="C88" i="4"/>
  <c r="N87" i="4"/>
  <c r="M87" i="4"/>
  <c r="O87" i="4" s="1"/>
  <c r="D87" i="4"/>
  <c r="C87" i="4"/>
  <c r="N86" i="4"/>
  <c r="M86" i="4"/>
  <c r="D86" i="4"/>
  <c r="C86" i="4"/>
  <c r="O85" i="4"/>
  <c r="N85" i="4"/>
  <c r="M85" i="4"/>
  <c r="D85" i="4"/>
  <c r="C85" i="4"/>
  <c r="N84" i="4"/>
  <c r="M84" i="4"/>
  <c r="D84" i="4"/>
  <c r="C84" i="4"/>
  <c r="N83" i="4"/>
  <c r="M83" i="4"/>
  <c r="O83" i="4" s="1"/>
  <c r="D83" i="4"/>
  <c r="C83" i="4"/>
  <c r="N82" i="4"/>
  <c r="O82" i="4" s="1"/>
  <c r="M82" i="4"/>
  <c r="D82" i="4"/>
  <c r="C82" i="4"/>
  <c r="N81" i="4"/>
  <c r="O81" i="4" s="1"/>
  <c r="M81" i="4"/>
  <c r="D81" i="4"/>
  <c r="C81" i="4"/>
  <c r="N80" i="4"/>
  <c r="M80" i="4"/>
  <c r="O80" i="4" s="1"/>
  <c r="D80" i="4"/>
  <c r="C80" i="4"/>
  <c r="O79" i="4"/>
  <c r="N79" i="4"/>
  <c r="M79" i="4"/>
  <c r="D79" i="4"/>
  <c r="C79" i="4"/>
  <c r="O78" i="4"/>
  <c r="N78" i="4"/>
  <c r="M78" i="4"/>
  <c r="D78" i="4"/>
  <c r="C78" i="4"/>
  <c r="N77" i="4"/>
  <c r="M77" i="4"/>
  <c r="O77" i="4" s="1"/>
  <c r="D77" i="4"/>
  <c r="C77" i="4"/>
  <c r="N76" i="4"/>
  <c r="O76" i="4" s="1"/>
  <c r="M76" i="4"/>
  <c r="D76" i="4"/>
  <c r="C76" i="4"/>
  <c r="N75" i="4"/>
  <c r="M75" i="4"/>
  <c r="O75" i="4" s="1"/>
  <c r="D75" i="4"/>
  <c r="C75" i="4"/>
  <c r="N74" i="4"/>
  <c r="M74" i="4"/>
  <c r="O74" i="4" s="1"/>
  <c r="D74" i="4"/>
  <c r="C74" i="4"/>
  <c r="N73" i="4"/>
  <c r="M73" i="4"/>
  <c r="O73" i="4" s="1"/>
  <c r="D73" i="4"/>
  <c r="C73" i="4"/>
  <c r="N72" i="4"/>
  <c r="M72" i="4"/>
  <c r="O72" i="4" s="1"/>
  <c r="D72" i="4"/>
  <c r="C72" i="4"/>
  <c r="N71" i="4"/>
  <c r="M71" i="4"/>
  <c r="O71" i="4" s="1"/>
  <c r="D71" i="4"/>
  <c r="C71" i="4"/>
  <c r="N70" i="4"/>
  <c r="O70" i="4" s="1"/>
  <c r="M70" i="4"/>
  <c r="D70" i="4"/>
  <c r="C70" i="4"/>
  <c r="N69" i="4"/>
  <c r="M69" i="4"/>
  <c r="O69" i="4" s="1"/>
  <c r="D69" i="4"/>
  <c r="C69" i="4"/>
  <c r="N68" i="4"/>
  <c r="M68" i="4"/>
  <c r="D68" i="4"/>
  <c r="C68" i="4"/>
  <c r="N67" i="4"/>
  <c r="M67" i="4"/>
  <c r="O67" i="4" s="1"/>
  <c r="D67" i="4"/>
  <c r="C67" i="4"/>
  <c r="N66" i="4"/>
  <c r="O66" i="4" s="1"/>
  <c r="M66" i="4"/>
  <c r="D66" i="4"/>
  <c r="C66" i="4"/>
  <c r="N65" i="4"/>
  <c r="M65" i="4"/>
  <c r="O65" i="4" s="1"/>
  <c r="D65" i="4"/>
  <c r="C65" i="4"/>
  <c r="N64" i="4"/>
  <c r="M64" i="4"/>
  <c r="O64" i="4" s="1"/>
  <c r="D64" i="4"/>
  <c r="C64" i="4"/>
  <c r="O63" i="4"/>
  <c r="N63" i="4"/>
  <c r="M63" i="4"/>
  <c r="D63" i="4"/>
  <c r="C63" i="4"/>
  <c r="N62" i="4"/>
  <c r="M62" i="4"/>
  <c r="O62" i="4" s="1"/>
  <c r="D62" i="4"/>
  <c r="C62" i="4"/>
  <c r="O61" i="4"/>
  <c r="N61" i="4"/>
  <c r="M61" i="4"/>
  <c r="D61" i="4"/>
  <c r="C61" i="4"/>
  <c r="N60" i="4"/>
  <c r="M60" i="4"/>
  <c r="O60" i="4" s="1"/>
  <c r="D60" i="4"/>
  <c r="C60" i="4"/>
  <c r="N59" i="4"/>
  <c r="M59" i="4"/>
  <c r="O59" i="4" s="1"/>
  <c r="D59" i="4"/>
  <c r="C59" i="4"/>
  <c r="N58" i="4"/>
  <c r="O58" i="4" s="1"/>
  <c r="M58" i="4"/>
  <c r="D58" i="4"/>
  <c r="C58" i="4"/>
  <c r="O57" i="4"/>
  <c r="N57" i="4"/>
  <c r="M57" i="4"/>
  <c r="D57" i="4"/>
  <c r="C57" i="4"/>
  <c r="N56" i="4"/>
  <c r="M56" i="4"/>
  <c r="D56" i="4"/>
  <c r="C56" i="4"/>
  <c r="O55" i="4"/>
  <c r="N55" i="4"/>
  <c r="M55" i="4"/>
  <c r="D55" i="4"/>
  <c r="C55" i="4"/>
  <c r="N54" i="4"/>
  <c r="O54" i="4" s="1"/>
  <c r="M54" i="4"/>
  <c r="D54" i="4"/>
  <c r="C54" i="4"/>
  <c r="N53" i="4"/>
  <c r="M53" i="4"/>
  <c r="O53" i="4" s="1"/>
  <c r="D53" i="4"/>
  <c r="C53" i="4"/>
  <c r="O52" i="4"/>
  <c r="N52" i="4"/>
  <c r="M52" i="4"/>
  <c r="D52" i="4"/>
  <c r="C52" i="4"/>
  <c r="O51" i="4"/>
  <c r="N51" i="4"/>
  <c r="M51" i="4"/>
  <c r="D51" i="4"/>
  <c r="C51" i="4"/>
  <c r="N50" i="4"/>
  <c r="M50" i="4"/>
  <c r="D50" i="4"/>
  <c r="C50" i="4"/>
  <c r="N49" i="4"/>
  <c r="M49" i="4"/>
  <c r="O49" i="4" s="1"/>
  <c r="D49" i="4"/>
  <c r="C49" i="4"/>
  <c r="N48" i="4"/>
  <c r="M48" i="4"/>
  <c r="D48" i="4"/>
  <c r="C48" i="4"/>
  <c r="N47" i="4"/>
  <c r="M47" i="4"/>
  <c r="O47" i="4" s="1"/>
  <c r="D47" i="4"/>
  <c r="C47" i="4"/>
  <c r="N46" i="4"/>
  <c r="O46" i="4" s="1"/>
  <c r="M46" i="4"/>
  <c r="D46" i="4"/>
  <c r="C46" i="4"/>
  <c r="N45" i="4"/>
  <c r="O45" i="4" s="1"/>
  <c r="M45" i="4"/>
  <c r="D45" i="4"/>
  <c r="C45" i="4"/>
  <c r="N44" i="4"/>
  <c r="M44" i="4"/>
  <c r="D44" i="4"/>
  <c r="C44" i="4"/>
  <c r="O43" i="4"/>
  <c r="N43" i="4"/>
  <c r="M43" i="4"/>
  <c r="D43" i="4"/>
  <c r="C43" i="4"/>
  <c r="O42" i="4"/>
  <c r="N42" i="4"/>
  <c r="M42" i="4"/>
  <c r="D42" i="4"/>
  <c r="C42" i="4"/>
  <c r="N41" i="4"/>
  <c r="M41" i="4"/>
  <c r="O41" i="4" s="1"/>
  <c r="D41" i="4"/>
  <c r="C41" i="4"/>
  <c r="N40" i="4"/>
  <c r="O40" i="4" s="1"/>
  <c r="M40" i="4"/>
  <c r="D40" i="4"/>
  <c r="C40" i="4"/>
  <c r="N39" i="4"/>
  <c r="M39" i="4"/>
  <c r="O39" i="4" s="1"/>
  <c r="D39" i="4"/>
  <c r="C39" i="4"/>
  <c r="N38" i="4"/>
  <c r="M38" i="4"/>
  <c r="O38" i="4" s="1"/>
  <c r="D38" i="4"/>
  <c r="C38" i="4"/>
  <c r="N37" i="4"/>
  <c r="M37" i="4"/>
  <c r="O37" i="4" s="1"/>
  <c r="D37" i="4"/>
  <c r="C37" i="4"/>
  <c r="N36" i="4"/>
  <c r="M36" i="4"/>
  <c r="O36" i="4" s="1"/>
  <c r="D36" i="4"/>
  <c r="C36" i="4"/>
  <c r="N35" i="4"/>
  <c r="M35" i="4"/>
  <c r="O35" i="4" s="1"/>
  <c r="D35" i="4"/>
  <c r="C35" i="4"/>
  <c r="N34" i="4"/>
  <c r="O34" i="4" s="1"/>
  <c r="M34" i="4"/>
  <c r="D34" i="4"/>
  <c r="C34" i="4"/>
  <c r="N33" i="4"/>
  <c r="M33" i="4"/>
  <c r="O33" i="4" s="1"/>
  <c r="D33" i="4"/>
  <c r="C33" i="4"/>
  <c r="N32" i="4"/>
  <c r="M32" i="4"/>
  <c r="D32" i="4"/>
  <c r="C32" i="4"/>
  <c r="N31" i="4"/>
  <c r="M31" i="4"/>
  <c r="O31" i="4" s="1"/>
  <c r="D31" i="4"/>
  <c r="C31" i="4"/>
  <c r="N30" i="4"/>
  <c r="O30" i="4" s="1"/>
  <c r="M30" i="4"/>
  <c r="D30" i="4"/>
  <c r="C30" i="4"/>
  <c r="N29" i="4"/>
  <c r="M29" i="4"/>
  <c r="O29" i="4" s="1"/>
  <c r="D29" i="4"/>
  <c r="C29" i="4"/>
  <c r="N28" i="4"/>
  <c r="M28" i="4"/>
  <c r="O28" i="4" s="1"/>
  <c r="D28" i="4"/>
  <c r="C28" i="4"/>
  <c r="O27" i="4"/>
  <c r="N27" i="4"/>
  <c r="M27" i="4"/>
  <c r="D27" i="4"/>
  <c r="C27" i="4"/>
  <c r="N26" i="4"/>
  <c r="M26" i="4"/>
  <c r="O26" i="4" s="1"/>
  <c r="D26" i="4"/>
  <c r="C26" i="4"/>
  <c r="N25" i="4"/>
  <c r="M25" i="4"/>
  <c r="O25" i="4" s="1"/>
  <c r="D25" i="4"/>
  <c r="C25" i="4"/>
  <c r="N24" i="4"/>
  <c r="M24" i="4"/>
  <c r="O24" i="4" s="1"/>
  <c r="D24" i="4"/>
  <c r="C24" i="4"/>
  <c r="N23" i="4"/>
  <c r="M23" i="4"/>
  <c r="O23" i="4" s="1"/>
  <c r="D23" i="4"/>
  <c r="C23" i="4"/>
  <c r="N22" i="4"/>
  <c r="O22" i="4" s="1"/>
  <c r="M22" i="4"/>
  <c r="D22" i="4"/>
  <c r="C22" i="4"/>
  <c r="O21" i="4"/>
  <c r="N21" i="4"/>
  <c r="M21" i="4"/>
  <c r="D21" i="4"/>
  <c r="C21" i="4"/>
  <c r="N20" i="4"/>
  <c r="M20" i="4"/>
  <c r="D20" i="4"/>
  <c r="C20" i="4"/>
  <c r="O19" i="4"/>
  <c r="N19" i="4"/>
  <c r="M19" i="4"/>
  <c r="D19" i="4"/>
  <c r="C19" i="4"/>
  <c r="N18" i="4"/>
  <c r="O18" i="4" s="1"/>
  <c r="M18" i="4"/>
  <c r="D18" i="4"/>
  <c r="C18" i="4"/>
  <c r="N17" i="4"/>
  <c r="M17" i="4"/>
  <c r="O17" i="4" s="1"/>
  <c r="D17" i="4"/>
  <c r="C17" i="4"/>
  <c r="O16" i="4"/>
  <c r="N16" i="4"/>
  <c r="M16" i="4"/>
  <c r="D16" i="4"/>
  <c r="C16" i="4"/>
  <c r="O15" i="4"/>
  <c r="N15" i="4"/>
  <c r="M15" i="4"/>
  <c r="D15" i="4"/>
  <c r="C15" i="4"/>
  <c r="N14" i="4"/>
  <c r="M14" i="4"/>
  <c r="D14" i="4"/>
  <c r="C14" i="4"/>
  <c r="N13" i="4"/>
  <c r="M13" i="4"/>
  <c r="O13" i="4" s="1"/>
  <c r="D13" i="4"/>
  <c r="C13" i="4"/>
  <c r="N12" i="4"/>
  <c r="M12" i="4"/>
  <c r="D12" i="4"/>
  <c r="C12" i="4"/>
  <c r="N11" i="4"/>
  <c r="M11" i="4"/>
  <c r="O11" i="4" s="1"/>
  <c r="D11" i="4"/>
  <c r="C11" i="4"/>
  <c r="N10" i="4"/>
  <c r="O10" i="4" s="1"/>
  <c r="M10" i="4"/>
  <c r="D10" i="4"/>
  <c r="C10" i="4"/>
  <c r="O9" i="4"/>
  <c r="N9" i="4"/>
  <c r="M9" i="4"/>
  <c r="D9" i="4"/>
  <c r="C9" i="4"/>
  <c r="N8" i="4"/>
  <c r="M8" i="4"/>
  <c r="O8" i="4" s="1"/>
  <c r="D8" i="4"/>
  <c r="C8" i="4"/>
  <c r="O7" i="4"/>
  <c r="N7" i="4"/>
  <c r="M7" i="4"/>
  <c r="D7" i="4"/>
  <c r="C7" i="4"/>
  <c r="N6" i="4"/>
  <c r="O6" i="4" s="1"/>
  <c r="M6" i="4"/>
  <c r="D6" i="4"/>
  <c r="C6" i="4"/>
  <c r="N5" i="4"/>
  <c r="M5" i="4"/>
  <c r="O5" i="4" s="1"/>
  <c r="D5" i="4"/>
  <c r="C5" i="4"/>
  <c r="O4" i="4"/>
  <c r="N4" i="4"/>
  <c r="M4" i="4"/>
  <c r="D4" i="4"/>
  <c r="C4" i="4"/>
  <c r="N3" i="4"/>
  <c r="M3" i="4"/>
  <c r="O3" i="4" s="1"/>
  <c r="D3" i="4"/>
  <c r="C3" i="4"/>
  <c r="N2" i="4"/>
  <c r="M2" i="4"/>
  <c r="D2" i="4"/>
  <c r="C2" i="4"/>
  <c r="B46" i="3"/>
  <c r="E46" i="3" s="1"/>
  <c r="A46" i="3"/>
  <c r="C46" i="3" s="1"/>
  <c r="B45" i="3"/>
  <c r="E45" i="3" s="1"/>
  <c r="A45" i="3"/>
  <c r="C45" i="3" s="1"/>
  <c r="E44" i="3"/>
  <c r="B44" i="3"/>
  <c r="A44" i="3"/>
  <c r="C44" i="3" s="1"/>
  <c r="E43" i="3"/>
  <c r="B43" i="3"/>
  <c r="A43" i="3"/>
  <c r="C43" i="3" s="1"/>
  <c r="E42" i="3"/>
  <c r="B42" i="3"/>
  <c r="A42" i="3"/>
  <c r="C42" i="3" s="1"/>
  <c r="B41" i="3"/>
  <c r="E41" i="3" s="1"/>
  <c r="A41" i="3"/>
  <c r="C41" i="3" s="1"/>
  <c r="A40" i="3"/>
  <c r="C40" i="3" s="1"/>
  <c r="C39" i="3"/>
  <c r="B39" i="3"/>
  <c r="E39" i="3" s="1"/>
  <c r="A39" i="3"/>
  <c r="E38" i="3"/>
  <c r="C38" i="3"/>
  <c r="B38" i="3"/>
  <c r="A38" i="3"/>
  <c r="C37" i="3"/>
  <c r="B37" i="3"/>
  <c r="E37" i="3" s="1"/>
  <c r="A37" i="3"/>
  <c r="E36" i="3"/>
  <c r="B36" i="3"/>
  <c r="A36" i="3"/>
  <c r="C36" i="3" s="1"/>
  <c r="C35" i="3"/>
  <c r="B35" i="3"/>
  <c r="E35" i="3" s="1"/>
  <c r="A35" i="3"/>
  <c r="C31" i="3"/>
  <c r="B31" i="3"/>
  <c r="A31" i="3"/>
  <c r="A30" i="3"/>
  <c r="B30" i="3" s="1"/>
  <c r="C29" i="3"/>
  <c r="B29" i="3"/>
  <c r="A29" i="3"/>
  <c r="A28" i="3"/>
  <c r="B28" i="3" s="1"/>
  <c r="C24" i="3"/>
  <c r="B24" i="3"/>
  <c r="A24" i="3"/>
  <c r="C23" i="3"/>
  <c r="A23" i="3"/>
  <c r="B23" i="3" s="1"/>
  <c r="A22" i="3"/>
  <c r="C22" i="3" s="1"/>
  <c r="A21" i="3"/>
  <c r="C21" i="3" s="1"/>
  <c r="C20" i="3"/>
  <c r="B20" i="3"/>
  <c r="A20" i="3"/>
  <c r="A19" i="3"/>
  <c r="B19" i="3" s="1"/>
  <c r="C18" i="3"/>
  <c r="B18" i="3"/>
  <c r="A18" i="3"/>
  <c r="C17" i="3"/>
  <c r="B17" i="3"/>
  <c r="A17" i="3"/>
  <c r="C16" i="3"/>
  <c r="B16" i="3"/>
  <c r="A16" i="3"/>
  <c r="A15" i="3"/>
  <c r="B15" i="3" s="1"/>
  <c r="A14" i="3"/>
  <c r="C14" i="3" s="1"/>
  <c r="C13" i="3"/>
  <c r="B13" i="3"/>
  <c r="A13" i="3"/>
  <c r="D8" i="3"/>
  <c r="A8" i="3"/>
  <c r="C8" i="3" s="1"/>
  <c r="A7" i="3"/>
  <c r="E48" i="1" s="1"/>
  <c r="D6" i="3"/>
  <c r="C6" i="3"/>
  <c r="H47" i="1" s="1"/>
  <c r="B6" i="3"/>
  <c r="A6" i="3"/>
  <c r="D5" i="3"/>
  <c r="B5" i="3"/>
  <c r="H46" i="1" s="1"/>
  <c r="A5" i="3"/>
  <c r="C5" i="3" s="1"/>
  <c r="B4" i="3"/>
  <c r="A4" i="3"/>
  <c r="E45" i="1" s="1"/>
  <c r="J49" i="1"/>
  <c r="G49" i="1"/>
  <c r="E49" i="1"/>
  <c r="J48" i="1"/>
  <c r="J47" i="1"/>
  <c r="F47" i="1"/>
  <c r="E47" i="1"/>
  <c r="J46" i="1"/>
  <c r="G46" i="1"/>
  <c r="F46" i="1"/>
  <c r="E46" i="1"/>
  <c r="J45" i="1"/>
  <c r="J39" i="3" l="1"/>
  <c r="I39" i="3" s="1"/>
  <c r="J37" i="3"/>
  <c r="I37" i="3" s="1"/>
  <c r="J38" i="3"/>
  <c r="I38" i="3" s="1"/>
  <c r="B22" i="3"/>
  <c r="B40" i="3"/>
  <c r="E40" i="3" s="1"/>
  <c r="J36" i="3" s="1"/>
  <c r="I36" i="3" s="1"/>
  <c r="O2" i="4"/>
  <c r="O12" i="4"/>
  <c r="O48" i="4"/>
  <c r="O84" i="4"/>
  <c r="O194" i="4"/>
  <c r="O228" i="4"/>
  <c r="O338" i="4"/>
  <c r="O362" i="4"/>
  <c r="O386" i="4"/>
  <c r="O492" i="4"/>
  <c r="O530" i="4"/>
  <c r="O636" i="4"/>
  <c r="O674" i="4"/>
  <c r="O818" i="4"/>
  <c r="B7" i="3"/>
  <c r="B14" i="3"/>
  <c r="G8" i="1" s="1"/>
  <c r="C30" i="3"/>
  <c r="O20" i="4"/>
  <c r="O56" i="4"/>
  <c r="O108" i="4"/>
  <c r="O218" i="4"/>
  <c r="O252" i="4"/>
  <c r="O468" i="4"/>
  <c r="O506" i="4"/>
  <c r="O612" i="4"/>
  <c r="O650" i="4"/>
  <c r="O756" i="4"/>
  <c r="O794" i="4"/>
  <c r="C7" i="3"/>
  <c r="G48" i="1" s="1"/>
  <c r="G47" i="1"/>
  <c r="C4" i="3"/>
  <c r="D7" i="3"/>
  <c r="D4" i="3"/>
  <c r="C15" i="3"/>
  <c r="O648" i="4"/>
  <c r="O686" i="4"/>
  <c r="C19" i="3"/>
  <c r="B8" i="3"/>
  <c r="O44" i="4"/>
  <c r="O122" i="4"/>
  <c r="O156" i="4"/>
  <c r="O300" i="4"/>
  <c r="O96" i="4"/>
  <c r="O206" i="4"/>
  <c r="O240" i="4"/>
  <c r="O480" i="4"/>
  <c r="O518" i="4"/>
  <c r="O624" i="4"/>
  <c r="O662" i="4"/>
  <c r="O768" i="4"/>
  <c r="O806" i="4"/>
  <c r="B21" i="3"/>
  <c r="C28" i="3"/>
  <c r="O14" i="4"/>
  <c r="O50" i="4"/>
  <c r="O86" i="4"/>
  <c r="O120" i="4"/>
  <c r="O230" i="4"/>
  <c r="O264" i="4"/>
  <c r="O348" i="4"/>
  <c r="O372" i="4"/>
  <c r="O456" i="4"/>
  <c r="O494" i="4"/>
  <c r="O600" i="4"/>
  <c r="O638" i="4"/>
  <c r="O744" i="4"/>
  <c r="O782" i="4"/>
  <c r="O888" i="4"/>
  <c r="F45" i="1"/>
  <c r="O32" i="4"/>
  <c r="O68" i="4"/>
  <c r="O170" i="4"/>
  <c r="O204" i="4"/>
  <c r="O314" i="4"/>
  <c r="O410" i="4"/>
  <c r="O516" i="4"/>
  <c r="O554" i="4"/>
  <c r="O660" i="4"/>
  <c r="O698" i="4"/>
  <c r="O842" i="4"/>
  <c r="O850" i="4"/>
  <c r="H36" i="3" l="1"/>
  <c r="K46" i="1" s="1"/>
  <c r="M46" i="1"/>
  <c r="F48" i="1"/>
  <c r="H48" i="1"/>
  <c r="H49" i="1"/>
  <c r="F49" i="1"/>
  <c r="C9" i="3"/>
  <c r="G6" i="1" s="1"/>
  <c r="G45" i="1"/>
  <c r="D9" i="3"/>
  <c r="J35" i="3"/>
  <c r="I35" i="3" s="1"/>
  <c r="H38" i="3"/>
  <c r="K48" i="1" s="1"/>
  <c r="M48" i="1"/>
  <c r="H37" i="3"/>
  <c r="K47" i="1" s="1"/>
  <c r="M47" i="1"/>
  <c r="H39" i="3"/>
  <c r="K49" i="1" s="1"/>
  <c r="M49" i="1"/>
  <c r="E8" i="1"/>
  <c r="B9" i="3"/>
  <c r="H45" i="1"/>
  <c r="H35" i="3" l="1"/>
  <c r="K45" i="1" s="1"/>
  <c r="M45" i="1"/>
  <c r="M6" i="1"/>
  <c r="K6" i="1"/>
  <c r="N46" i="1"/>
  <c r="E6" i="1"/>
  <c r="N47" i="1"/>
  <c r="I46" i="1"/>
  <c r="I49" i="1"/>
  <c r="N49" i="1"/>
  <c r="I45" i="1"/>
  <c r="I47" i="1"/>
  <c r="N48" i="1"/>
  <c r="N45" i="1"/>
  <c r="I6" i="1"/>
  <c r="I48" i="1"/>
</calcChain>
</file>

<file path=xl/sharedStrings.xml><?xml version="1.0" encoding="utf-8"?>
<sst xmlns="http://schemas.openxmlformats.org/spreadsheetml/2006/main" count="4646" uniqueCount="1018">
  <si>
    <t>📊  SALES PERFORMANCE DASHBOARD</t>
  </si>
  <si>
    <t>Powered by real PivotTables (Region · Month · Product · Category)  ·  filter with slicers in the left panel</t>
  </si>
  <si>
    <t>🎛  FILTERS (SLICERS)</t>
  </si>
  <si>
    <t>💰 TOTAL REVENUE</t>
  </si>
  <si>
    <t>📈 TOTAL PROFIT</t>
  </si>
  <si>
    <t>🎯 PROFIT MARGIN</t>
  </si>
  <si>
    <t>🛒 ORDERS</t>
  </si>
  <si>
    <t>🧾 AVG ORDER VALUE</t>
  </si>
  <si>
    <t>1  Click any PivotTable on the 'Pivots' sheet.</t>
  </si>
  <si>
    <t>Profit ÷ Revenue</t>
  </si>
  <si>
    <t>Order lines</t>
  </si>
  <si>
    <t>Revenue ÷ Orders</t>
  </si>
  <si>
    <t>2  PivotTable Analyze ▸ Insert Slicer ▸ tick Year, Region and Category.</t>
  </si>
  <si>
    <t>PERFORMANCE OVERVIEW</t>
  </si>
  <si>
    <t>3  Slicer ▸ Report Connections ▸ tick all 4 PivotTables.</t>
  </si>
  <si>
    <t>4  Cut the slicers and paste them into the zone below.</t>
  </si>
  <si>
    <t>SLICER ZONE
(Year · Region · Category)</t>
  </si>
  <si>
    <t>🌍 REGION SCORECARD</t>
  </si>
  <si>
    <t>🏆 TOP 5 PRODUCTS</t>
  </si>
  <si>
    <t>Region</t>
  </si>
  <si>
    <t>Revenue</t>
  </si>
  <si>
    <t>Profit</t>
  </si>
  <si>
    <t>Margin</t>
  </si>
  <si>
    <t>Share</t>
  </si>
  <si>
    <t>Rank</t>
  </si>
  <si>
    <t>Product</t>
  </si>
  <si>
    <t>Source: Sales_Data → PivotTables (Pivots sheet) → Calc → Dashboard. Revenue = Quantity × Unit Price × (1 − Discount). Amounts in ₹. Chart axes in millions (M). Sample data is synthetic.</t>
  </si>
  <si>
    <t>PIVOTTABLES — real Excel PivotTables built from Sales_Data (right-click a pivot ▸ Refresh after changing data)</t>
  </si>
  <si>
    <t>🌍 Sales by Region</t>
  </si>
  <si>
    <t>📅 Sales by Month</t>
  </si>
  <si>
    <t>📦 Sales by Product</t>
  </si>
  <si>
    <t>Data</t>
  </si>
  <si>
    <t>Sum - Revenue</t>
  </si>
  <si>
    <t>Sum - Profit</t>
  </si>
  <si>
    <t>Count - Order ID</t>
  </si>
  <si>
    <t>Month</t>
  </si>
  <si>
    <t>Central</t>
  </si>
  <si>
    <t>01 Jan</t>
  </si>
  <si>
    <t>Air Purifier</t>
  </si>
  <si>
    <t>East</t>
  </si>
  <si>
    <t>02 Feb</t>
  </si>
  <si>
    <t>Bookshelf</t>
  </si>
  <si>
    <t>North</t>
  </si>
  <si>
    <t>03 Mar</t>
  </si>
  <si>
    <t>Desk Organizer</t>
  </si>
  <si>
    <t>South</t>
  </si>
  <si>
    <t>04 Apr</t>
  </si>
  <si>
    <t>Gel Pen Box</t>
  </si>
  <si>
    <t>West</t>
  </si>
  <si>
    <t>05 May</t>
  </si>
  <si>
    <t>Laptop</t>
  </si>
  <si>
    <t>Total Result</t>
  </si>
  <si>
    <t>06 Jun</t>
  </si>
  <si>
    <t>Microwave Oven</t>
  </si>
  <si>
    <t>07 Jul</t>
  </si>
  <si>
    <t>Notebook Pack</t>
  </si>
  <si>
    <t>🏷️ Sales by Category</t>
  </si>
  <si>
    <t>08 Aug</t>
  </si>
  <si>
    <t>Office Chair</t>
  </si>
  <si>
    <t>09 Sep</t>
  </si>
  <si>
    <t>Smartphone</t>
  </si>
  <si>
    <t>10 Oct</t>
  </si>
  <si>
    <t>Standing Desk</t>
  </si>
  <si>
    <t>Category</t>
  </si>
  <si>
    <t>11 Nov</t>
  </si>
  <si>
    <t>Water Purifier</t>
  </si>
  <si>
    <t>Appliances</t>
  </si>
  <si>
    <t>12 Dec</t>
  </si>
  <si>
    <t>Wireless Earbuds</t>
  </si>
  <si>
    <t>Electronics</t>
  </si>
  <si>
    <t>Furniture</t>
  </si>
  <si>
    <t>Stationery</t>
  </si>
  <si>
    <t>Calculation layer — reads the PivotTables on the 'Pivots' sheet and ignores their Total rows, so charts stay correct when slicers shrink a pivot.</t>
  </si>
  <si>
    <t>Orders</t>
  </si>
  <si>
    <t>Total</t>
  </si>
  <si>
    <t>Sort key</t>
  </si>
  <si>
    <t>Row idx</t>
  </si>
  <si>
    <t>Order ID</t>
  </si>
  <si>
    <t>Order Date</t>
  </si>
  <si>
    <t>Year</t>
  </si>
  <si>
    <t>Sales Rep</t>
  </si>
  <si>
    <t>Quantity</t>
  </si>
  <si>
    <t>Unit Price</t>
  </si>
  <si>
    <t>Discount %</t>
  </si>
  <si>
    <t>Unit Cost</t>
  </si>
  <si>
    <t>Cost</t>
  </si>
  <si>
    <t>ORD-0001</t>
  </si>
  <si>
    <t>Divya Nair</t>
  </si>
  <si>
    <t>ORD-0002</t>
  </si>
  <si>
    <t>Aarav Sharma</t>
  </si>
  <si>
    <t>ORD-0003</t>
  </si>
  <si>
    <t>Sneha Joshi</t>
  </si>
  <si>
    <t>ORD-0004</t>
  </si>
  <si>
    <t>Karthik Iyer</t>
  </si>
  <si>
    <t>ORD-0005</t>
  </si>
  <si>
    <t>Pooja Mehta</t>
  </si>
  <si>
    <t>ORD-0006</t>
  </si>
  <si>
    <t>ORD-0007</t>
  </si>
  <si>
    <t>Rohan Patil</t>
  </si>
  <si>
    <t>ORD-0008</t>
  </si>
  <si>
    <t>Subhash Das</t>
  </si>
  <si>
    <t>ORD-0009</t>
  </si>
  <si>
    <t>ORD-0010</t>
  </si>
  <si>
    <t>ORD-0011</t>
  </si>
  <si>
    <t>ORD-0012</t>
  </si>
  <si>
    <t>ORD-0013</t>
  </si>
  <si>
    <t>ORD-0014</t>
  </si>
  <si>
    <t>Moumita Sen</t>
  </si>
  <si>
    <t>ORD-0015</t>
  </si>
  <si>
    <t>ORD-0016</t>
  </si>
  <si>
    <t>ORD-0017</t>
  </si>
  <si>
    <t>ORD-0018</t>
  </si>
  <si>
    <t>Neha Verma</t>
  </si>
  <si>
    <t>ORD-0019</t>
  </si>
  <si>
    <t>Amit Tiwari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</si>
  <si>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</si>
  <si>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</si>
  <si>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</si>
  <si>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</si>
  <si>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</si>
  <si>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</si>
  <si>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</si>
  <si>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</si>
  <si>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</si>
  <si>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</si>
  <si>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</si>
  <si>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</si>
  <si>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</si>
  <si>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</si>
  <si>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</si>
  <si>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</si>
  <si>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</si>
  <si>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</si>
  <si>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</si>
  <si>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</si>
  <si>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</si>
  <si>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</si>
  <si>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</si>
  <si>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</si>
  <si>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</si>
  <si>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</si>
  <si>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</si>
  <si>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</si>
  <si>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</si>
  <si>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</si>
  <si>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</si>
  <si>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</si>
  <si>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</si>
  <si>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</si>
  <si>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</si>
  <si>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</si>
  <si>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</si>
  <si>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</si>
  <si>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</si>
  <si>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</si>
  <si>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</si>
  <si>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</si>
  <si>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</si>
  <si>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</si>
  <si>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</si>
  <si>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</si>
  <si>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</si>
  <si>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</si>
  <si>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</si>
  <si>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</si>
  <si>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</si>
  <si>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</si>
  <si>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</si>
  <si>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</si>
  <si>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</si>
  <si>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</si>
  <si>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</si>
  <si>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</si>
  <si>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</si>
  <si>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</si>
  <si>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</si>
  <si>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</si>
  <si>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</si>
  <si>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</si>
  <si>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</si>
  <si>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</si>
  <si>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</si>
  <si>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</si>
  <si>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</si>
  <si>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</si>
  <si>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</si>
  <si>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</si>
  <si>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</si>
  <si>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</si>
  <si>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</si>
  <si>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</si>
  <si>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</si>
  <si>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</si>
  <si>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</si>
  <si>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</si>
  <si>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</si>
  <si>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</si>
  <si>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</si>
  <si>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</si>
  <si>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</si>
  <si>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</si>
  <si>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</si>
  <si>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</si>
  <si>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</si>
  <si>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</si>
  <si>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</si>
  <si>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</si>
  <si>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</si>
  <si>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</si>
  <si>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</si>
  <si>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</si>
  <si>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</si>
  <si>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</si>
  <si>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</si>
  <si>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</si>
  <si>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</si>
  <si>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</si>
  <si>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</si>
  <si>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</si>
  <si>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</si>
  <si>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</si>
  <si>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</si>
  <si>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</si>
  <si>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</si>
  <si>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</si>
  <si>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</si>
  <si>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</si>
  <si>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</si>
  <si>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</si>
  <si>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</si>
  <si>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</si>
  <si>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</si>
  <si>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</si>
  <si>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</si>
  <si>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</si>
  <si>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</si>
  <si>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</si>
  <si>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</si>
  <si>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</si>
  <si>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</si>
  <si>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</si>
  <si>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</si>
  <si>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</si>
  <si>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</si>
  <si>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</si>
  <si>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</si>
  <si>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</si>
  <si>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</si>
  <si>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</si>
  <si>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</si>
  <si>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</si>
  <si>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</si>
  <si>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</si>
  <si>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</si>
  <si>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</si>
  <si>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</si>
  <si>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</si>
  <si>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</si>
  <si>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</si>
  <si>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</si>
  <si>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</si>
  <si>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</si>
  <si>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</si>
  <si>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</si>
  <si>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</si>
  <si>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</si>
  <si>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</si>
  <si>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</si>
  <si>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</si>
  <si>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</si>
  <si>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</si>
  <si>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</si>
  <si>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</si>
  <si>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</si>
  <si>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</si>
  <si>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</si>
  <si>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</si>
  <si>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</si>
  <si>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</si>
  <si>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</si>
  <si>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</si>
  <si>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</si>
  <si>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</si>
  <si>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</si>
  <si>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</si>
  <si>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</si>
  <si>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</si>
  <si>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</si>
  <si>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</si>
  <si>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</si>
  <si>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</si>
  <si>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</si>
  <si>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</si>
  <si>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</si>
  <si>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</si>
  <si>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</si>
  <si>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</si>
  <si>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</si>
  <si>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</si>
  <si>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</si>
  <si>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</si>
  <si>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</si>
  <si>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</si>
  <si>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</si>
  <si>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</si>
  <si>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</si>
  <si>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</si>
  <si>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</si>
  <si>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</si>
  <si>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</si>
  <si>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</si>
  <si>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</si>
  <si>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</si>
  <si>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</si>
  <si>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</si>
  <si>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</si>
  <si>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</si>
  <si>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</si>
  <si>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</si>
  <si>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</si>
  <si>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</si>
  <si>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</si>
  <si>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</si>
  <si>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</si>
  <si>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</si>
  <si>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</si>
  <si>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</si>
  <si>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</si>
  <si>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</si>
  <si>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</si>
  <si>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</si>
  <si>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</si>
  <si>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</si>
  <si>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</si>
  <si>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</si>
  <si>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</si>
  <si>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</si>
  <si>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</si>
  <si>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</si>
  <si>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</si>
  <si>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</si>
  <si>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</si>
  <si>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</si>
  <si>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</si>
  <si>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</si>
  <si>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</si>
  <si>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</si>
  <si>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</si>
  <si>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</si>
  <si>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</si>
  <si>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</si>
  <si>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</si>
  <si>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</si>
  <si>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</si>
  <si>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</si>
  <si>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</si>
  <si>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</si>
  <si>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</si>
  <si>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</si>
  <si>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</si>
  <si>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</si>
  <si>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</si>
  <si>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</si>
  <si>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</si>
  <si>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</si>
  <si>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</si>
  <si>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</si>
  <si>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</si>
  <si>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</si>
  <si>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</si>
  <si>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</si>
  <si>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</si>
  <si>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</si>
  <si>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</si>
  <si>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</si>
  <si>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</si>
  <si>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</si>
  <si>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</si>
  <si>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</si>
  <si>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</si>
  <si>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</si>
  <si>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</si>
  <si>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</si>
  <si>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</si>
  <si>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</si>
  <si>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</si>
  <si>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</si>
  <si>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</si>
  <si>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</si>
  <si>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</si>
  <si>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</si>
  <si>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</si>
  <si>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</si>
  <si>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</si>
  <si>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</si>
  <si>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</si>
  <si>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</si>
  <si>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</si>
  <si>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</si>
  <si>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</si>
  <si>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</si>
  <si>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</si>
  <si>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</si>
  <si>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</si>
  <si>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</si>
  <si>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</si>
  <si>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</si>
  <si>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</si>
  <si>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</si>
  <si>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</si>
  <si>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</si>
  <si>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</si>
  <si>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</si>
  <si>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</si>
  <si>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</si>
  <si>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</si>
  <si>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</si>
  <si>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</si>
  <si>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</si>
  <si>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</si>
  <si>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</si>
  <si>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</si>
  <si>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</si>
  <si>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</si>
  <si>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</si>
  <si>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</si>
  <si>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</si>
  <si>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</si>
  <si>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</si>
  <si>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</si>
  <si>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</si>
  <si>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</si>
  <si>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</si>
  <si>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</si>
  <si>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</si>
  <si>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</si>
  <si>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</si>
  <si>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</si>
  <si>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</si>
  <si>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</si>
  <si>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</si>
  <si>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</si>
  <si>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</si>
  <si>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</si>
  <si>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</si>
  <si>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</si>
  <si>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</si>
  <si>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</si>
  <si>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</si>
  <si>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</si>
  <si>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</si>
  <si>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</si>
  <si>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</si>
  <si>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</si>
  <si>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</si>
  <si>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</si>
  <si>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</si>
  <si>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</si>
  <si>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</si>
  <si>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</si>
  <si>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</si>
  <si>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</si>
  <si>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</si>
  <si>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</si>
  <si>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</si>
  <si>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</si>
  <si>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</si>
  <si>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</si>
  <si>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</si>
  <si>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</si>
  <si>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</si>
  <si>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</si>
  <si>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</si>
  <si>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</si>
  <si>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</si>
  <si>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</si>
  <si>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</si>
  <si>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</si>
  <si>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</si>
  <si>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</si>
  <si>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</si>
  <si>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</si>
  <si>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</si>
  <si>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</si>
  <si>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</si>
  <si>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</si>
  <si>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</si>
  <si>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</si>
  <si>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</si>
  <si>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</si>
  <si>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</si>
  <si>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</si>
  <si>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</si>
  <si>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</si>
  <si>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</si>
  <si>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</si>
  <si>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</si>
  <si>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</si>
  <si>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</si>
  <si>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</si>
  <si>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</si>
  <si>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</si>
  <si>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</si>
  <si>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</si>
  <si>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</si>
  <si>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</si>
  <si>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</si>
  <si>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</si>
  <si>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</si>
  <si>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</si>
  <si>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</si>
  <si>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</si>
  <si>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</si>
  <si>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</si>
  <si>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</si>
  <si>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</si>
  <si>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</si>
  <si>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</si>
  <si>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</si>
  <si>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</si>
  <si>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</si>
  <si>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</si>
  <si>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</si>
  <si>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</si>
  <si>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</si>
  <si>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</si>
  <si>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</si>
  <si>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</si>
  <si>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</si>
  <si>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</si>
  <si>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</si>
  <si>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</si>
  <si>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</si>
  <si>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</si>
  <si>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</si>
  <si>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</si>
  <si>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</si>
  <si>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</si>
  <si>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</si>
  <si>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</si>
  <si>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</si>
  <si>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</si>
  <si>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</si>
  <si>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</si>
  <si>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</si>
  <si>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</si>
  <si>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</si>
  <si>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</si>
  <si>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</si>
  <si>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</si>
  <si>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</si>
  <si>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</si>
  <si>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</si>
  <si>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</si>
  <si>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</si>
  <si>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</si>
  <si>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</si>
  <si>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</si>
  <si>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</si>
  <si>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</si>
  <si>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</si>
  <si>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</si>
  <si>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</si>
  <si>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</si>
  <si>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</si>
  <si>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</si>
  <si>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</si>
  <si>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</si>
  <si>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</si>
  <si>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</si>
  <si>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</si>
  <si>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</si>
  <si>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</si>
  <si>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</si>
  <si>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</si>
  <si>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</si>
  <si>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</si>
  <si>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</si>
  <si>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</si>
  <si>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</si>
  <si>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</si>
  <si>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</si>
  <si>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</si>
  <si>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</si>
  <si>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</si>
  <si>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</si>
  <si>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</si>
  <si>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</si>
  <si>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</si>
  <si>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</si>
  <si>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</si>
  <si>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</si>
  <si>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</si>
  <si>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</si>
  <si>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</si>
  <si>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</si>
  <si>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</si>
  <si>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</si>
  <si>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</si>
  <si>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</si>
  <si>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</si>
  <si>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</si>
  <si>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</si>
  <si>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</si>
  <si>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</si>
  <si>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</si>
  <si>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</si>
  <si>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</si>
  <si>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</si>
  <si>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</si>
  <si>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</si>
  <si>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</si>
  <si>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</si>
  <si>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</si>
  <si>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</si>
  <si>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</si>
  <si>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</si>
  <si>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</si>
  <si>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</si>
  <si>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</si>
  <si>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</si>
  <si>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</si>
  <si>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</si>
  <si>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</si>
  <si>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</si>
  <si>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</si>
  <si>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</si>
  <si>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</si>
  <si>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</si>
  <si>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</si>
  <si>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</si>
  <si>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</si>
  <si>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</si>
  <si>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</si>
  <si>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</si>
  <si>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</si>
  <si>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</si>
  <si>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</si>
  <si>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</si>
  <si>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</si>
  <si>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</si>
  <si>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</si>
  <si>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</si>
  <si>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</si>
  <si>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</si>
  <si>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</si>
  <si>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</si>
  <si>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</si>
  <si>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</si>
  <si>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</si>
  <si>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</si>
  <si>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</si>
  <si>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</si>
  <si>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</si>
  <si>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</si>
  <si>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</si>
  <si>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</si>
  <si>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</si>
  <si>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</si>
  <si>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</si>
  <si>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</si>
  <si>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</si>
  <si>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</si>
  <si>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</si>
  <si>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</si>
  <si>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</si>
  <si>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</si>
  <si>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</si>
  <si>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</si>
  <si>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</si>
  <si>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</si>
  <si>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</si>
  <si>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</si>
  <si>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</si>
  <si>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</si>
  <si>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</si>
  <si>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</si>
  <si>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</si>
  <si>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</si>
  <si>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</si>
  <si>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</si>
  <si>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</si>
  <si>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</si>
  <si>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</si>
  <si>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</si>
  <si>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</si>
  <si>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</si>
  <si>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</si>
  <si>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</si>
  <si>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</si>
  <si>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</si>
  <si>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</si>
  <si>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</si>
  <si>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</si>
  <si>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</si>
  <si>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</si>
  <si>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</si>
  <si>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</si>
  <si>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</si>
  <si>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</si>
  <si>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</si>
  <si>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</si>
  <si>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</si>
  <si>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</si>
  <si>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</si>
  <si>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</si>
  <si>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</si>
  <si>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</si>
  <si>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</si>
  <si>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</si>
  <si>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</si>
  <si>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</si>
  <si>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</si>
  <si>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</si>
  <si>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</si>
  <si>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</si>
  <si>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</si>
  <si>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</si>
  <si>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</si>
  <si>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</si>
  <si>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</si>
  <si>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</si>
  <si>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</si>
  <si>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</si>
  <si>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</si>
  <si>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</si>
  <si>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</si>
  <si>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</si>
  <si>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</si>
  <si>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</si>
  <si>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</si>
  <si>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</si>
  <si>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</si>
  <si>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</si>
  <si>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</si>
  <si>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</si>
  <si>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</si>
  <si>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</si>
  <si>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</si>
  <si>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</si>
  <si>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</si>
  <si>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</si>
  <si>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</si>
  <si>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</si>
  <si>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</si>
  <si>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</si>
  <si>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</si>
  <si>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</si>
  <si>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</si>
  <si>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</si>
  <si>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</si>
  <si>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</si>
  <si>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</si>
  <si>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</si>
  <si>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</si>
  <si>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</si>
  <si>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</si>
  <si>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</si>
  <si>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</si>
  <si>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</si>
  <si>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</si>
  <si>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</si>
  <si>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</si>
  <si>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</si>
  <si>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</si>
  <si>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</si>
  <si>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</si>
  <si>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</si>
  <si>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</si>
  <si>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</si>
  <si>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</si>
  <si>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</si>
  <si>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</si>
  <si>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</si>
  <si>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</si>
  <si>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</si>
  <si>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</si>
  <si>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</si>
  <si>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</si>
  <si>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</si>
  <si>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</si>
  <si>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</si>
  <si>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</si>
  <si>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</si>
  <si>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</si>
  <si>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</si>
  <si>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</si>
  <si>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</si>
  <si>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</si>
  <si>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</si>
  <si>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</si>
  <si>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</si>
  <si>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</si>
  <si>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</si>
  <si>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</si>
  <si>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</si>
  <si>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</si>
  <si>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</si>
  <si>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</si>
  <si>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</si>
  <si>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</si>
  <si>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</si>
  <si>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</si>
  <si>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</si>
  <si>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</si>
  <si>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</si>
  <si>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</si>
  <si>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</si>
  <si>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</si>
  <si>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</si>
  <si>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</si>
  <si>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</si>
  <si>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</si>
  <si>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</si>
  <si>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</si>
  <si>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</si>
  <si>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</si>
  <si>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</si>
  <si>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</si>
  <si>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</si>
  <si>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</si>
  <si>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</si>
  <si>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</si>
  <si>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</si>
  <si>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</si>
  <si>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</si>
  <si>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</si>
  <si>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</si>
  <si>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</si>
  <si>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</si>
  <si>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</si>
  <si>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</si>
  <si>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</si>
  <si>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</si>
  <si>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</si>
  <si>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</si>
  <si>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</si>
  <si>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</si>
  <si>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</si>
  <si>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</si>
  <si>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</si>
  <si>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</si>
  <si>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</si>
  <si>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</si>
  <si>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</si>
  <si>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</si>
  <si>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</si>
  <si>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</si>
  <si>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</si>
  <si>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</si>
  <si>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</si>
  <si>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</si>
  <si>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</si>
  <si>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</si>
  <si>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</si>
  <si>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</si>
  <si>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</si>
  <si>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</si>
  <si>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</si>
  <si>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</si>
  <si>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</si>
  <si>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</si>
  <si>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</si>
  <si>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</si>
  <si>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</si>
  <si>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</si>
  <si>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</si>
  <si>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</si>
  <si>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</si>
  <si>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</si>
  <si>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</si>
  <si>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</si>
  <si>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</si>
  <si>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</si>
  <si>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</si>
  <si>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</si>
  <si>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</si>
  <si>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</si>
  <si>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</si>
  <si>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</si>
  <si>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</si>
  <si>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</si>
  <si>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</si>
  <si>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</si>
  <si>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</si>
  <si>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</si>
  <si>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</si>
  <si>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</si>
  <si>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</si>
  <si>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</si>
  <si>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</si>
  <si>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</si>
  <si>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</si>
  <si>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</si>
  <si>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</si>
  <si>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</si>
  <si>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</si>
  <si>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</si>
  <si>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</si>
  <si>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</si>
  <si>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</si>
  <si>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</si>
  <si>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</si>
  <si>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</si>
  <si>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</si>
  <si>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</si>
  <si>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</si>
  <si>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</si>
  <si>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</si>
  <si>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</si>
  <si>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</si>
  <si>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</si>
  <si>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</si>
  <si>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</si>
  <si>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</si>
  <si>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</si>
  <si>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</si>
  <si>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</si>
  <si>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</si>
  <si>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</si>
  <si>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</si>
  <si>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</si>
  <si>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</si>
  <si>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</si>
  <si>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</si>
  <si>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</si>
  <si>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</si>
  <si>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</si>
  <si>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</si>
  <si>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</si>
  <si>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</si>
  <si>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</si>
  <si>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</si>
  <si>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</si>
  <si>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</si>
  <si>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</si>
  <si>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</si>
  <si>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</si>
  <si>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</si>
  <si>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</si>
  <si>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</si>
  <si>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</si>
  <si>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</si>
  <si>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</si>
  <si>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</si>
  <si>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</si>
  <si>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</si>
  <si>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</si>
  <si>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</si>
  <si>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</si>
  <si>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</si>
  <si>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</si>
  <si>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</si>
  <si>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</si>
  <si>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</si>
  <si>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</si>
  <si>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</si>
  <si>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</si>
  <si>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</si>
  <si>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</si>
  <si>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</si>
  <si>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</si>
  <si>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</si>
  <si>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</si>
  <si>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</si>
  <si>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</si>
  <si>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</si>
  <si>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</si>
  <si>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</si>
  <si>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</si>
  <si>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</si>
  <si>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</si>
  <si>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</si>
  <si>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</si>
  <si>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</si>
  <si>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</si>
  <si>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</si>
  <si>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</si>
  <si>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</si>
  <si>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</si>
  <si>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</si>
  <si>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</si>
  <si>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</si>
  <si>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</si>
  <si>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</si>
  <si>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</si>
  <si>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</si>
  <si>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</si>
  <si>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</si>
  <si>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</si>
  <si>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</si>
  <si>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</si>
  <si>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</si>
  <si>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</si>
  <si>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</si>
  <si>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</si>
  <si>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SALES DASHBOARD — PROJECT GUIDE</t>
  </si>
  <si>
    <t>1. Workbook map</t>
  </si>
  <si>
    <t>Dashboard   – KPI cards, 4 charts, Region scorecard, Top-5 products, and a panel reserved for slicers.</t>
  </si>
  <si>
    <t>Pivots      – 4 real PivotTables sharing one cache: by Region, by Month, by Product, by Category (Revenue, Profit; Region also counts Orders).</t>
  </si>
  <si>
    <t>Calc        – Formula layer that reads the pivots and ignores their Total rows, so charts stay correct however the pivots are filtered.</t>
  </si>
  <si>
    <t>Sales_Data  – 900 sales rows (table tblSales). Blue font = inputs; black = formulas (Year, Month, Revenue, Cost, Profit).</t>
  </si>
  <si>
    <t>2. Add slicers (about one minute)</t>
  </si>
  <si>
    <t>a) Go to the Pivots sheet and click inside any PivotTable.</t>
  </si>
  <si>
    <t>b) PivotTable Analyze ▸ Insert Slicer ▸ tick Year, Region, Category (add Sales Rep or Product if you like) ▸ OK.</t>
  </si>
  <si>
    <t>c) Right-click each slicer ▸ Report Connections ▸ tick ALL four PivotTables (pvRegion, pvMonth, pvProduct, pvCategory) ▸ OK.</t>
  </si>
  <si>
    <t>d) Cut each slicer (Ctrl+X) and paste (Ctrl+V) onto the Dashboard sheet inside the 'SLICER ZONE'. Resize to fit; Slicer ▸ Columns can make them compact.</t>
  </si>
  <si>
    <t>e) Click slicer buttons: every pivot filters, the Calc layer updates, and all KPIs, charts and tables on the Dashboard change instantly.</t>
  </si>
  <si>
    <t>3. Refresh / extend</t>
  </si>
  <si>
    <t>After editing Sales_Data: Data ▸ Refresh All. If you add rows, update the source: PivotTable Analyze ▸ Change Data Source ▸ select the full table.</t>
  </si>
  <si>
    <t>To build another view: Insert ▸ PivotTable ▸ Existing worksheet (Pivots sheet, empty area) from the same data, then connect it to the slicers.</t>
  </si>
  <si>
    <t>4. Why the Calc layer exists</t>
  </si>
  <si>
    <t>A PivotTable shrinks when filtered and its Total row moves up. Charts pointed straight at pivot cells would then plot the Total as if it were a region or product.</t>
  </si>
  <si>
    <t>Calc reads fixed pivot rows, blanks any Total row and returns 0 for empty rows, so charts always plot clean data.</t>
  </si>
  <si>
    <t>5. Assumptions &amp; notes</t>
  </si>
  <si>
    <t>All data is synthetic (randomly generated, seed 7) for demonstration — replace Sales_Data with your own and refresh the pivots.</t>
  </si>
  <si>
    <t>Unit prices vary ±5% around a list price; discounts are 0/5/10/15%; Oct–Nov are seasonally higher (festive season).</t>
  </si>
  <si>
    <t>Pivot labels read 'Sum - Revenue' etc. Excel may rename these on refresh (e.g. 'Sum of Revenue'); the Calc layer reads by position, so nothing breaks.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</si>
</sst>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&gt;=10000000]\₹##\,##\,##\,##0;[&gt;=100000]\₹##\,##\,##0;\₹##,##0"/>
    <numFmt numFmtId="165" formatCode="0.0%"/>
    <numFmt numFmtId="168" formatCode="#,##0.000000"/>
    <numFmt numFmtId="169" formatCode="dd\-mmm\-yyyy"/>
  </numFmts>
  <fonts count="2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9"/>
      <color rgb="FFA9B8D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5B6577"/>
      <name val="Arial"/>
      <charset val="1"/>
    </font>
    <font>
      <b/>
      <sz val="22"/>
      <color rgb="FF3A86FF"/>
      <name val="Arial"/>
      <charset val="1"/>
    </font>
    <font>
      <b/>
      <sz val="22"/>
      <color rgb="FF2A9D8F"/>
      <name val="Arial"/>
      <charset val="1"/>
    </font>
    <font>
      <b/>
      <sz val="22"/>
      <color rgb="FFF77F00"/>
      <name val="Arial"/>
      <charset val="1"/>
    </font>
    <font>
      <b/>
      <sz val="22"/>
      <color rgb="FF6A4C93"/>
      <name val="Arial"/>
      <charset val="1"/>
    </font>
    <font>
      <b/>
      <sz val="22"/>
      <color rgb="FF00A6A6"/>
      <name val="Arial"/>
      <charset val="1"/>
    </font>
    <font>
      <i/>
      <sz val="8"/>
      <color rgb="FF7F7F7F"/>
      <name val="Arial"/>
      <charset val="1"/>
    </font>
    <font>
      <b/>
      <sz val="11"/>
      <color rgb="FF1B2A49"/>
      <name val="Arial"/>
      <charset val="1"/>
    </font>
    <font>
      <b/>
      <sz val="9"/>
      <color rgb="FFA9B8D4"/>
      <name val="Arial"/>
      <charset val="1"/>
    </font>
    <font>
      <sz val="10"/>
      <color rgb="FF1B2A49"/>
      <name val="Arial"/>
      <charset val="1"/>
    </font>
    <font>
      <b/>
      <sz val="12"/>
      <color rgb="FF1B2A49"/>
      <name val="Arial"/>
      <charset val="1"/>
    </font>
    <font>
      <b/>
      <sz val="13"/>
      <color rgb="FF1B2A49"/>
      <name val="Arial"/>
      <charset val="1"/>
    </font>
    <font>
      <b/>
      <sz val="11"/>
      <color rgb="FF3A86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6"/>
      <color rgb="FF1B2A49"/>
      <name val="Arial"/>
      <charset val="1"/>
    </font>
    <font>
      <b/>
      <sz val="11"/>
      <color rgb="FFFFFFFF"/>
      <name val="Arial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9"/>
        <bgColor rgb="FF003366"/>
      </patternFill>
    </fill>
    <fill>
      <patternFill patternType="solid">
        <fgColor rgb="FFFFB703"/>
        <bgColor rgb="FFFF9900"/>
      </patternFill>
    </fill>
    <fill>
      <patternFill patternType="solid">
        <fgColor rgb="FFEEF2F8"/>
        <bgColor rgb="FFE8ECF3"/>
      </patternFill>
    </fill>
    <fill>
      <patternFill patternType="solid">
        <fgColor rgb="FF3A86FF"/>
        <bgColor rgb="FF4F81BD"/>
      </patternFill>
    </fill>
    <fill>
      <patternFill patternType="solid">
        <fgColor rgb="FF2A9D8F"/>
        <bgColor rgb="FF00A6A6"/>
      </patternFill>
    </fill>
    <fill>
      <patternFill patternType="solid">
        <fgColor rgb="FFF77F00"/>
        <bgColor rgb="FFFF9900"/>
      </patternFill>
    </fill>
    <fill>
      <patternFill patternType="solid">
        <fgColor rgb="FF6A4C93"/>
        <bgColor rgb="FF5B6577"/>
      </patternFill>
    </fill>
    <fill>
      <patternFill patternType="solid">
        <fgColor rgb="FF00A6A6"/>
        <bgColor rgb="FF2A9D8F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34">
    <border>
      <left/>
      <right/>
      <top/>
      <bottom/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 style="thin">
        <color rgb="FFD5DCE8"/>
      </left>
      <right style="thin">
        <color rgb="FFD5DCE8"/>
      </right>
      <top/>
      <bottom/>
      <diagonal/>
    </border>
    <border>
      <left style="thin">
        <color rgb="FFD5DCE8"/>
      </left>
      <right style="thin">
        <color rgb="FFD5DCE8"/>
      </right>
      <top/>
      <bottom style="medium">
        <color rgb="FF3A86FF"/>
      </bottom>
      <diagonal/>
    </border>
    <border>
      <left style="thin">
        <color rgb="FFD5DCE8"/>
      </left>
      <right style="thin">
        <color rgb="FFD5DCE8"/>
      </right>
      <top/>
      <bottom style="medium">
        <color rgb="FF2A9D8F"/>
      </bottom>
      <diagonal/>
    </border>
    <border>
      <left style="thin">
        <color rgb="FFD5DCE8"/>
      </left>
      <right style="thin">
        <color rgb="FFD5DCE8"/>
      </right>
      <top/>
      <bottom style="medium">
        <color rgb="FFF77F00"/>
      </bottom>
      <diagonal/>
    </border>
    <border>
      <left style="thin">
        <color rgb="FFD5DCE8"/>
      </left>
      <right style="thin">
        <color rgb="FFD5DCE8"/>
      </right>
      <top/>
      <bottom style="medium">
        <color rgb="FF6A4C93"/>
      </bottom>
      <diagonal/>
    </border>
    <border>
      <left style="thin">
        <color rgb="FFD5DCE8"/>
      </left>
      <right style="thin">
        <color rgb="FFD5DCE8"/>
      </right>
      <top/>
      <bottom style="medium">
        <color rgb="FF00A6A6"/>
      </bottom>
      <diagonal/>
    </border>
    <border>
      <left/>
      <right/>
      <top/>
      <bottom style="medium">
        <color rgb="FF3A86FF"/>
      </bottom>
      <diagonal/>
    </border>
    <border>
      <left style="thin">
        <color rgb="FFD5DCE8"/>
      </left>
      <right/>
      <top/>
      <bottom/>
      <diagonal/>
    </border>
    <border>
      <left/>
      <right style="thin">
        <color rgb="FFD5DCE8"/>
      </right>
      <top/>
      <bottom/>
      <diagonal/>
    </border>
    <border>
      <left style="dashed">
        <color rgb="FFA9B8D4"/>
      </left>
      <right style="dashed">
        <color rgb="FFA9B8D4"/>
      </right>
      <top style="dashed">
        <color rgb="FFA9B8D4"/>
      </top>
      <bottom style="dashed">
        <color rgb="FFA9B8D4"/>
      </bottom>
      <diagonal/>
    </border>
    <border>
      <left/>
      <right/>
      <top/>
      <bottom style="thin">
        <color rgb="FFE3E8F0"/>
      </bottom>
      <diagonal/>
    </border>
    <border>
      <left style="thin">
        <color rgb="FFD5DCE8"/>
      </left>
      <right/>
      <top/>
      <bottom style="thin">
        <color rgb="FFD5DCE8"/>
      </bottom>
      <diagonal/>
    </border>
    <border>
      <left/>
      <right style="thin">
        <color rgb="FFD5DCE8"/>
      </right>
      <top/>
      <bottom style="thin">
        <color rgb="FFD5DCE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87">
    <xf numFmtId="0" fontId="0" fillId="0" borderId="0" xfId="0"/>
    <xf numFmtId="164" fontId="11" fillId="10" borderId="2" xfId="0" applyNumberFormat="1" applyFont="1" applyFill="1" applyBorder="1" applyAlignment="1">
      <alignment horizontal="center" vertical="center"/>
    </xf>
    <xf numFmtId="3" fontId="10" fillId="10" borderId="2" xfId="0" applyNumberFormat="1" applyFont="1" applyFill="1" applyBorder="1" applyAlignment="1">
      <alignment horizontal="center" vertical="center"/>
    </xf>
    <xf numFmtId="165" fontId="9" fillId="10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vertical="top" wrapText="1" indent="1"/>
    </xf>
    <xf numFmtId="0" fontId="5" fillId="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10" borderId="9" xfId="0" applyFill="1" applyBorder="1"/>
    <xf numFmtId="0" fontId="0" fillId="10" borderId="10" xfId="0" applyFill="1" applyBorder="1"/>
    <xf numFmtId="0" fontId="5" fillId="2" borderId="0" xfId="0" applyFont="1" applyFill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164" fontId="15" fillId="10" borderId="12" xfId="0" applyNumberFormat="1" applyFont="1" applyFill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164" fontId="15" fillId="11" borderId="12" xfId="0" applyNumberFormat="1" applyFont="1" applyFill="1" applyBorder="1" applyAlignment="1">
      <alignment horizontal="center" vertical="center"/>
    </xf>
    <xf numFmtId="165" fontId="15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0" fillId="10" borderId="13" xfId="0" applyFill="1" applyBorder="1"/>
    <xf numFmtId="0" fontId="0" fillId="10" borderId="14" xfId="0" applyFill="1" applyBorder="1"/>
    <xf numFmtId="0" fontId="17" fillId="0" borderId="0" xfId="0" applyFont="1"/>
    <xf numFmtId="0" fontId="18" fillId="0" borderId="0" xfId="0" applyFont="1"/>
    <xf numFmtId="0" fontId="25" fillId="0" borderId="15" xfId="1" applyBorder="1"/>
    <xf numFmtId="0" fontId="25" fillId="0" borderId="16" xfId="3" applyBorder="1"/>
    <xf numFmtId="0" fontId="25" fillId="0" borderId="17" xfId="1" applyBorder="1"/>
    <xf numFmtId="0" fontId="25" fillId="0" borderId="18" xfId="1" applyBorder="1"/>
    <xf numFmtId="0" fontId="25" fillId="0" borderId="19" xfId="3" applyBorder="1"/>
    <xf numFmtId="0" fontId="25" fillId="0" borderId="20" xfId="4" applyBorder="1">
      <alignment horizontal="left"/>
    </xf>
    <xf numFmtId="0" fontId="25" fillId="0" borderId="21" xfId="4" applyBorder="1">
      <alignment horizontal="left"/>
    </xf>
    <xf numFmtId="0" fontId="25" fillId="0" borderId="22" xfId="4" applyBorder="1">
      <alignment horizontal="left"/>
    </xf>
    <xf numFmtId="0" fontId="25" fillId="0" borderId="23" xfId="4" applyBorder="1">
      <alignment horizontal="left"/>
    </xf>
    <xf numFmtId="3" fontId="25" fillId="0" borderId="24" xfId="2" applyNumberFormat="1" applyBorder="1"/>
    <xf numFmtId="3" fontId="25" fillId="0" borderId="25" xfId="2" applyNumberFormat="1" applyBorder="1"/>
    <xf numFmtId="0" fontId="25" fillId="0" borderId="26" xfId="2" applyBorder="1"/>
    <xf numFmtId="3" fontId="25" fillId="0" borderId="26" xfId="2" applyNumberFormat="1" applyBorder="1"/>
    <xf numFmtId="0" fontId="25" fillId="0" borderId="27" xfId="4" applyBorder="1">
      <alignment horizontal="left"/>
    </xf>
    <xf numFmtId="3" fontId="25" fillId="0" borderId="28" xfId="2" applyNumberFormat="1" applyBorder="1"/>
    <xf numFmtId="3" fontId="25" fillId="0" borderId="0" xfId="2" applyNumberFormat="1"/>
    <xf numFmtId="0" fontId="25" fillId="0" borderId="29" xfId="2" applyBorder="1"/>
    <xf numFmtId="3" fontId="25" fillId="0" borderId="29" xfId="2" applyNumberFormat="1" applyBorder="1"/>
    <xf numFmtId="3" fontId="25" fillId="0" borderId="20" xfId="2" applyNumberFormat="1" applyBorder="1"/>
    <xf numFmtId="3" fontId="25" fillId="0" borderId="21" xfId="2" applyNumberFormat="1" applyBorder="1"/>
    <xf numFmtId="0" fontId="25" fillId="0" borderId="22" xfId="2" applyBorder="1"/>
    <xf numFmtId="0" fontId="1" fillId="0" borderId="30" xfId="5" applyBorder="1">
      <alignment horizontal="left"/>
    </xf>
    <xf numFmtId="3" fontId="1" fillId="0" borderId="31" xfId="6" applyNumberFormat="1" applyBorder="1"/>
    <xf numFmtId="3" fontId="1" fillId="0" borderId="32" xfId="6" applyNumberFormat="1" applyBorder="1"/>
    <xf numFmtId="0" fontId="1" fillId="0" borderId="33" xfId="6" applyBorder="1"/>
    <xf numFmtId="3" fontId="25" fillId="0" borderId="22" xfId="2" applyNumberFormat="1" applyBorder="1"/>
    <xf numFmtId="3" fontId="1" fillId="0" borderId="33" xfId="6" applyNumberFormat="1" applyBorder="1"/>
    <xf numFmtId="0" fontId="13" fillId="0" borderId="0" xfId="0" applyFont="1"/>
    <xf numFmtId="0" fontId="19" fillId="0" borderId="0" xfId="0" applyFont="1"/>
    <xf numFmtId="0" fontId="4" fillId="2" borderId="0" xfId="0" applyFont="1" applyFill="1" applyAlignment="1">
      <alignment horizontal="center"/>
    </xf>
    <xf numFmtId="0" fontId="20" fillId="0" borderId="0" xfId="0" applyFont="1"/>
    <xf numFmtId="3" fontId="20" fillId="0" borderId="0" xfId="0" applyNumberFormat="1" applyFont="1"/>
    <xf numFmtId="3" fontId="19" fillId="0" borderId="0" xfId="0" applyNumberFormat="1" applyFont="1"/>
    <xf numFmtId="168" fontId="21" fillId="0" borderId="0" xfId="0" applyNumberFormat="1" applyFont="1"/>
    <xf numFmtId="0" fontId="21" fillId="0" borderId="0" xfId="0" applyFont="1"/>
    <xf numFmtId="3" fontId="21" fillId="0" borderId="0" xfId="0" applyNumberFormat="1" applyFont="1"/>
    <xf numFmtId="0" fontId="4" fillId="0" borderId="0" xfId="0" applyFont="1"/>
    <xf numFmtId="169" fontId="21" fillId="0" borderId="0" xfId="0" applyNumberFormat="1" applyFont="1"/>
    <xf numFmtId="0" fontId="22" fillId="0" borderId="0" xfId="0" applyFont="1"/>
    <xf numFmtId="3" fontId="22" fillId="0" borderId="0" xfId="0" applyNumberFormat="1" applyFont="1"/>
    <xf numFmtId="9" fontId="22" fillId="0" borderId="0" xfId="0" applyNumberFormat="1" applyFont="1"/>
    <xf numFmtId="0" fontId="23" fillId="0" borderId="0" xfId="0" applyFont="1"/>
    <xf numFmtId="0" fontId="24" fillId="5" borderId="0" xfId="0" applyFont="1" applyFill="1"/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vertical="center"/>
    </xf>
    <xf numFmtId="0" fontId="14" fillId="11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A9B8D4"/>
      <rgbColor rgb="FF7F7F7F"/>
      <rgbColor rgb="FF9999FF"/>
      <rgbColor rgb="FF6A4C93"/>
      <rgbColor rgb="FFF7F9FC"/>
      <rgbColor rgb="FFEEF2F8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E3E8F0"/>
      <rgbColor rgb="FFFFFF99"/>
      <rgbColor rgb="FFD5DCE8"/>
      <rgbColor rgb="FFFF99CC"/>
      <rgbColor rgb="FFCC99FF"/>
      <rgbColor rgb="FFFFCC99"/>
      <rgbColor rgb="FF3A86FF"/>
      <rgbColor rgb="FF33CCCC"/>
      <rgbColor rgb="FF99CC00"/>
      <rgbColor rgb="FFFFB703"/>
      <rgbColor rgb="FFFF9900"/>
      <rgbColor rgb="FFF77F00"/>
      <rgbColor rgb="FF5B6577"/>
      <rgbColor rgb="FF4F81BD"/>
      <rgbColor rgb="FF003366"/>
      <rgbColor rgb="FF2A9D8F"/>
      <rgbColor rgb="FF003300"/>
      <rgbColor rgb="FF333300"/>
      <rgbColor rgb="FF993300"/>
      <rgbColor rgb="FF993366"/>
      <rgbColor rgb="FF333399"/>
      <rgbColor rgb="FF1B2A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Monthly Revenue (bars) &amp; Profit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A86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Calc!$A$13:$A$24</c:f>
              <c:strCache>
                <c:ptCount val="12"/>
                <c:pt idx="0">
                  <c:v>01 Jan</c:v>
                </c:pt>
                <c:pt idx="1">
                  <c:v>02 Feb</c:v>
                </c:pt>
                <c:pt idx="2">
                  <c:v>03 Mar</c:v>
                </c:pt>
                <c:pt idx="3">
                  <c:v>04 Apr</c:v>
                </c:pt>
                <c:pt idx="4">
                  <c:v>05 May</c:v>
                </c:pt>
                <c:pt idx="5">
                  <c:v>06 Jun</c:v>
                </c:pt>
                <c:pt idx="6">
                  <c:v>07 Jul</c:v>
                </c:pt>
                <c:pt idx="7">
                  <c:v>08 Aug</c:v>
                </c:pt>
                <c:pt idx="8">
                  <c:v>09 Sep</c:v>
                </c:pt>
                <c:pt idx="9">
                  <c:v>10 Oct</c:v>
                </c:pt>
                <c:pt idx="10">
                  <c:v>11 Nov</c:v>
                </c:pt>
                <c:pt idx="11">
                  <c:v>12 Dec</c:v>
                </c:pt>
              </c:strCache>
            </c:strRef>
          </c:cat>
          <c:val>
            <c:numRef>
              <c:f>Calc!$B$13:$B$24</c:f>
              <c:numCache>
                <c:formatCode>#,##0</c:formatCode>
                <c:ptCount val="12"/>
                <c:pt idx="0">
                  <c:v>1620607</c:v>
                </c:pt>
                <c:pt idx="1">
                  <c:v>1752835</c:v>
                </c:pt>
                <c:pt idx="2">
                  <c:v>1886227</c:v>
                </c:pt>
                <c:pt idx="3">
                  <c:v>1650096</c:v>
                </c:pt>
                <c:pt idx="4">
                  <c:v>2119832</c:v>
                </c:pt>
                <c:pt idx="5">
                  <c:v>1678147.5</c:v>
                </c:pt>
                <c:pt idx="6">
                  <c:v>1346851.5</c:v>
                </c:pt>
                <c:pt idx="7">
                  <c:v>1714494.5</c:v>
                </c:pt>
                <c:pt idx="8">
                  <c:v>2031742.5</c:v>
                </c:pt>
                <c:pt idx="9">
                  <c:v>2577860.5</c:v>
                </c:pt>
                <c:pt idx="10">
                  <c:v>3173388</c:v>
                </c:pt>
                <c:pt idx="11">
                  <c:v>2737783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D92-94BE-4E22E8E91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82485523"/>
        <c:axId val="12867653"/>
      </c:barChart>
      <c:lineChart>
        <c:grouping val="standard"/>
        <c:varyColors val="0"/>
        <c:ser>
          <c:idx val="1"/>
          <c:order val="1"/>
          <c:tx>
            <c:strRef>
              <c:f>Calc!$C$12</c:f>
              <c:strCache>
                <c:ptCount val="1"/>
                <c:pt idx="0">
                  <c:v>Profit</c:v>
                </c:pt>
              </c:strCache>
            </c:strRef>
          </c:tx>
          <c:spPr>
            <a:ln w="31680">
              <a:solidFill>
                <a:srgbClr val="F77F00"/>
              </a:solidFill>
              <a:round/>
            </a:ln>
          </c:spPr>
          <c:marker>
            <c:symbol val="circle"/>
            <c:size val="7"/>
            <c:spPr>
              <a:solidFill>
                <a:srgbClr val="F77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Calc!$A$13:$A$24</c:f>
              <c:strCache>
                <c:ptCount val="12"/>
                <c:pt idx="0">
                  <c:v>01 Jan</c:v>
                </c:pt>
                <c:pt idx="1">
                  <c:v>02 Feb</c:v>
                </c:pt>
                <c:pt idx="2">
                  <c:v>03 Mar</c:v>
                </c:pt>
                <c:pt idx="3">
                  <c:v>04 Apr</c:v>
                </c:pt>
                <c:pt idx="4">
                  <c:v>05 May</c:v>
                </c:pt>
                <c:pt idx="5">
                  <c:v>06 Jun</c:v>
                </c:pt>
                <c:pt idx="6">
                  <c:v>07 Jul</c:v>
                </c:pt>
                <c:pt idx="7">
                  <c:v>08 Aug</c:v>
                </c:pt>
                <c:pt idx="8">
                  <c:v>09 Sep</c:v>
                </c:pt>
                <c:pt idx="9">
                  <c:v>10 Oct</c:v>
                </c:pt>
                <c:pt idx="10">
                  <c:v>11 Nov</c:v>
                </c:pt>
                <c:pt idx="11">
                  <c:v>12 Dec</c:v>
                </c:pt>
              </c:strCache>
            </c:strRef>
          </c:cat>
          <c:val>
            <c:numRef>
              <c:f>Calc!$C$13:$C$24</c:f>
              <c:numCache>
                <c:formatCode>#,##0</c:formatCode>
                <c:ptCount val="12"/>
                <c:pt idx="0">
                  <c:v>441707</c:v>
                </c:pt>
                <c:pt idx="1">
                  <c:v>482495</c:v>
                </c:pt>
                <c:pt idx="2">
                  <c:v>507527</c:v>
                </c:pt>
                <c:pt idx="3">
                  <c:v>421216</c:v>
                </c:pt>
                <c:pt idx="4">
                  <c:v>544552</c:v>
                </c:pt>
                <c:pt idx="5">
                  <c:v>435907.5</c:v>
                </c:pt>
                <c:pt idx="6">
                  <c:v>346971.5</c:v>
                </c:pt>
                <c:pt idx="7">
                  <c:v>426174.5</c:v>
                </c:pt>
                <c:pt idx="8">
                  <c:v>565342.5</c:v>
                </c:pt>
                <c:pt idx="9">
                  <c:v>680360.5</c:v>
                </c:pt>
                <c:pt idx="10">
                  <c:v>820838</c:v>
                </c:pt>
                <c:pt idx="11">
                  <c:v>683253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B-4D92-94BE-4E22E8E91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485523"/>
        <c:axId val="12867653"/>
      </c:lineChart>
      <c:catAx>
        <c:axId val="82485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12867653"/>
        <c:crosses val="autoZero"/>
        <c:auto val="1"/>
        <c:lblAlgn val="ctr"/>
        <c:lblOffset val="100"/>
        <c:noMultiLvlLbl val="0"/>
      </c:catAx>
      <c:valAx>
        <c:axId val="12867653"/>
        <c:scaling>
          <c:orientation val="minMax"/>
        </c:scaling>
        <c:delete val="0"/>
        <c:axPos val="l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824855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B657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79-4ED3-BFA1-428C91B3BEE5}"/>
              </c:ext>
            </c:extLst>
          </c:dPt>
          <c:dPt>
            <c:idx val="1"/>
            <c:bubble3D val="0"/>
            <c:spPr>
              <a:solidFill>
                <a:srgbClr val="F77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79-4ED3-BFA1-428C91B3BEE5}"/>
              </c:ext>
            </c:extLst>
          </c:dPt>
          <c:dPt>
            <c:idx val="2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279-4ED3-BFA1-428C91B3BEE5}"/>
              </c:ext>
            </c:extLst>
          </c:dPt>
          <c:dPt>
            <c:idx val="3"/>
            <c:bubble3D val="0"/>
            <c:spPr>
              <a:solidFill>
                <a:srgbClr val="6A4C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279-4ED3-BFA1-428C91B3BEE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279-4ED3-BFA1-428C91B3BEE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279-4ED3-BFA1-428C91B3BEE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279-4ED3-BFA1-428C91B3BEE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1279-4ED3-BFA1-428C91B3BE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Calc!$A$28:$A$31</c:f>
              <c:strCache>
                <c:ptCount val="4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Calc!$B$28:$B$31</c:f>
              <c:numCache>
                <c:formatCode>#,##0</c:formatCode>
                <c:ptCount val="4"/>
                <c:pt idx="0">
                  <c:v>4315622.5</c:v>
                </c:pt>
                <c:pt idx="1">
                  <c:v>12807219</c:v>
                </c:pt>
                <c:pt idx="2">
                  <c:v>4892534</c:v>
                </c:pt>
                <c:pt idx="3">
                  <c:v>2274489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9-4ED3-BFA1-428C91B3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B2A49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A86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037-41D9-AE73-CB9FAB79C972}"/>
              </c:ext>
            </c:extLst>
          </c:dPt>
          <c:dPt>
            <c:idx val="1"/>
            <c:invertIfNegative val="0"/>
            <c:bubble3D val="0"/>
            <c:spPr>
              <a:solidFill>
                <a:srgbClr val="F77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037-41D9-AE73-CB9FAB79C972}"/>
              </c:ext>
            </c:extLst>
          </c:dPt>
          <c:dPt>
            <c:idx val="2"/>
            <c:invertIfNegative val="0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037-41D9-AE73-CB9FAB79C972}"/>
              </c:ext>
            </c:extLst>
          </c:dPt>
          <c:dPt>
            <c:idx val="3"/>
            <c:invertIfNegative val="0"/>
            <c:bubble3D val="0"/>
            <c:spPr>
              <a:solidFill>
                <a:srgbClr val="6A4C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037-41D9-AE73-CB9FAB79C972}"/>
              </c:ext>
            </c:extLst>
          </c:dPt>
          <c:dPt>
            <c:idx val="4"/>
            <c:invertIfNegative val="0"/>
            <c:bubble3D val="0"/>
            <c:spPr>
              <a:solidFill>
                <a:srgbClr val="00A6A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037-41D9-AE73-CB9FAB79C97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037-41D9-AE73-CB9FAB79C97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037-41D9-AE73-CB9FAB79C97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037-41D9-AE73-CB9FAB79C97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037-41D9-AE73-CB9FAB79C97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9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037-41D9-AE73-CB9FAB79C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9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Calc!$B$4:$B$8</c:f>
              <c:numCache>
                <c:formatCode>#,##0</c:formatCode>
                <c:ptCount val="5"/>
                <c:pt idx="0">
                  <c:v>2720063.5</c:v>
                </c:pt>
                <c:pt idx="1">
                  <c:v>3409733</c:v>
                </c:pt>
                <c:pt idx="2">
                  <c:v>6207313</c:v>
                </c:pt>
                <c:pt idx="3">
                  <c:v>7004880.5</c:v>
                </c:pt>
                <c:pt idx="4">
                  <c:v>4947874.5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37-41D9-AE73-CB9FAB79C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8160179"/>
        <c:axId val="83239242"/>
      </c:barChart>
      <c:catAx>
        <c:axId val="18160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83239242"/>
        <c:crosses val="autoZero"/>
        <c:auto val="1"/>
        <c:lblAlgn val="ctr"/>
        <c:lblOffset val="100"/>
        <c:noMultiLvlLbl val="0"/>
      </c:catAx>
      <c:valAx>
        <c:axId val="83239242"/>
        <c:scaling>
          <c:orientation val="minMax"/>
        </c:scaling>
        <c:delete val="0"/>
        <c:axPos val="l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18160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B2A49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B2A49"/>
                </a:solidFill>
                <a:latin typeface="Arial"/>
              </a:rPr>
              <a:t>Top 5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Calc!$I$34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A4C9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9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Calc!$H$35:$H$39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Standing Desk</c:v>
                </c:pt>
                <c:pt idx="4">
                  <c:v>Air Purifier</c:v>
                </c:pt>
              </c:strCache>
            </c:strRef>
          </c:cat>
          <c:val>
            <c:numRef>
              <c:f>Calc!$I$35:$I$39</c:f>
              <c:numCache>
                <c:formatCode>#,##0</c:formatCode>
                <c:ptCount val="5"/>
                <c:pt idx="0">
                  <c:v>7053989.5</c:v>
                </c:pt>
                <c:pt idx="1">
                  <c:v>4855275.5</c:v>
                </c:pt>
                <c:pt idx="2">
                  <c:v>2083738</c:v>
                </c:pt>
                <c:pt idx="3">
                  <c:v>1840267.5</c:v>
                </c:pt>
                <c:pt idx="4">
                  <c:v>1537535.5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E-4BCC-92A9-8368FE6C5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2629582"/>
        <c:axId val="16758631"/>
      </c:barChart>
      <c:catAx>
        <c:axId val="4262958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C9D1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16758631"/>
        <c:crosses val="autoZero"/>
        <c:auto val="1"/>
        <c:lblAlgn val="ctr"/>
        <c:lblOffset val="100"/>
        <c:noMultiLvlLbl val="0"/>
      </c:catAx>
      <c:valAx>
        <c:axId val="16758631"/>
        <c:scaling>
          <c:orientation val="minMax"/>
        </c:scaling>
        <c:delete val="0"/>
        <c:axPos val="t"/>
        <c:majorGridlines>
          <c:spPr>
            <a:ln w="9360">
              <a:solidFill>
                <a:srgbClr val="E8ECF3"/>
              </a:solidFill>
              <a:round/>
            </a:ln>
          </c:spPr>
        </c:majorGridlines>
        <c:numFmt formatCode="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B6577"/>
                </a:solidFill>
                <a:latin typeface="Arial"/>
              </a:defRPr>
            </a:pPr>
            <a:endParaRPr lang="en-US"/>
          </a:p>
        </c:txPr>
        <c:crossAx val="42629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CE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8</xdr:col>
      <xdr:colOff>870120</xdr:colOff>
      <xdr:row>24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13</xdr:col>
      <xdr:colOff>870480</xdr:colOff>
      <xdr:row>24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26</xdr:row>
      <xdr:rowOff>0</xdr:rowOff>
    </xdr:from>
    <xdr:to>
      <xdr:col>8</xdr:col>
      <xdr:colOff>870120</xdr:colOff>
      <xdr:row>40</xdr:row>
      <xdr:rowOff>140760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13</xdr:col>
      <xdr:colOff>870480</xdr:colOff>
      <xdr:row>40</xdr:row>
      <xdr:rowOff>140760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00" xr:uid="{00000000-000A-0000-FFFF-FFFF01000000}">
  <cacheSource type="worksheet">
    <worksheetSource ref="A1:O901" sheet="Sales_Data"/>
  </cacheSource>
  <cacheFields count="15">
    <cacheField name="Order ID" numFmtId="0">
      <sharedItems count="900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  <s v="ORD-0151"/>
        <s v="ORD-0152"/>
        <s v="ORD-0153"/>
        <s v="ORD-0154"/>
        <s v="ORD-0155"/>
        <s v="ORD-0156"/>
        <s v="ORD-0157"/>
        <s v="ORD-0158"/>
        <s v="ORD-0159"/>
        <s v="ORD-0160"/>
        <s v="ORD-0161"/>
        <s v="ORD-0162"/>
        <s v="ORD-0163"/>
        <s v="ORD-0164"/>
        <s v="ORD-0165"/>
        <s v="ORD-0166"/>
        <s v="ORD-0167"/>
        <s v="ORD-0168"/>
        <s v="ORD-0169"/>
        <s v="ORD-0170"/>
        <s v="ORD-0171"/>
        <s v="ORD-0172"/>
        <s v="ORD-0173"/>
        <s v="ORD-0174"/>
        <s v="ORD-0175"/>
        <s v="ORD-0176"/>
        <s v="ORD-0177"/>
        <s v="ORD-0178"/>
        <s v="ORD-0179"/>
        <s v="ORD-0180"/>
        <s v="ORD-0181"/>
        <s v="ORD-0182"/>
        <s v="ORD-0183"/>
        <s v="ORD-0184"/>
        <s v="ORD-0185"/>
        <s v="ORD-0186"/>
        <s v="ORD-0187"/>
        <s v="ORD-0188"/>
        <s v="ORD-0189"/>
        <s v="ORD-0190"/>
        <s v="ORD-0191"/>
        <s v="ORD-0192"/>
        <s v="ORD-0193"/>
        <s v="ORD-0194"/>
        <s v="ORD-0195"/>
        <s v="ORD-0196"/>
        <s v="ORD-0197"/>
        <s v="ORD-0198"/>
        <s v="ORD-0199"/>
        <s v="ORD-0200"/>
        <s v="ORD-0201"/>
        <s v="ORD-0202"/>
        <s v="ORD-0203"/>
        <s v="ORD-0204"/>
        <s v="ORD-0205"/>
        <s v="ORD-0206"/>
        <s v="ORD-0207"/>
        <s v="ORD-0208"/>
        <s v="ORD-0209"/>
        <s v="ORD-0210"/>
        <s v="ORD-0211"/>
        <s v="ORD-0212"/>
        <s v="ORD-0213"/>
        <s v="ORD-0214"/>
        <s v="ORD-0215"/>
        <s v="ORD-0216"/>
        <s v="ORD-0217"/>
        <s v="ORD-0218"/>
        <s v="ORD-0219"/>
        <s v="ORD-0220"/>
        <s v="ORD-0221"/>
        <s v="ORD-0222"/>
        <s v="ORD-0223"/>
        <s v="ORD-0224"/>
        <s v="ORD-0225"/>
        <s v="ORD-0226"/>
        <s v="ORD-0227"/>
        <s v="ORD-0228"/>
        <s v="ORD-0229"/>
        <s v="ORD-0230"/>
        <s v="ORD-0231"/>
        <s v="ORD-0232"/>
        <s v="ORD-0233"/>
        <s v="ORD-0234"/>
        <s v="ORD-0235"/>
        <s v="ORD-0236"/>
        <s v="ORD-0237"/>
        <s v="ORD-0238"/>
        <s v="ORD-0239"/>
        <s v="ORD-0240"/>
        <s v="ORD-0241"/>
        <s v="ORD-0242"/>
        <s v="ORD-0243"/>
        <s v="ORD-0244"/>
        <s v="ORD-0245"/>
        <s v="ORD-0246"/>
        <s v="ORD-0247"/>
        <s v="ORD-0248"/>
        <s v="ORD-0249"/>
        <s v="ORD-0250"/>
        <s v="ORD-0251"/>
        <s v="ORD-0252"/>
        <s v="ORD-0253"/>
        <s v="ORD-0254"/>
        <s v="ORD-0255"/>
        <s v="ORD-0256"/>
        <s v="ORD-0257"/>
        <s v="ORD-0258"/>
        <s v="ORD-0259"/>
        <s v="ORD-0260"/>
        <s v="ORD-0261"/>
        <s v="ORD-0262"/>
        <s v="ORD-0263"/>
        <s v="ORD-0264"/>
        <s v="ORD-0265"/>
        <s v="ORD-0266"/>
        <s v="ORD-0267"/>
        <s v="ORD-0268"/>
        <s v="ORD-0269"/>
        <s v="ORD-0270"/>
        <s v="ORD-0271"/>
        <s v="ORD-0272"/>
        <s v="ORD-0273"/>
        <s v="ORD-0274"/>
        <s v="ORD-0275"/>
        <s v="ORD-0276"/>
        <s v="ORD-0277"/>
        <s v="ORD-0278"/>
        <s v="ORD-0279"/>
        <s v="ORD-0280"/>
        <s v="ORD-0281"/>
        <s v="ORD-0282"/>
        <s v="ORD-0283"/>
        <s v="ORD-0284"/>
        <s v="ORD-0285"/>
        <s v="ORD-0286"/>
        <s v="ORD-0287"/>
        <s v="ORD-0288"/>
        <s v="ORD-0289"/>
        <s v="ORD-0290"/>
        <s v="ORD-0291"/>
        <s v="ORD-0292"/>
        <s v="ORD-0293"/>
        <s v="ORD-0294"/>
        <s v="ORD-0295"/>
        <s v="ORD-0296"/>
        <s v="ORD-0297"/>
        <s v="ORD-0298"/>
        <s v="ORD-0299"/>
        <s v="ORD-0300"/>
        <s v="ORD-0301"/>
        <s v="ORD-0302"/>
        <s v="ORD-0303"/>
        <s v="ORD-0304"/>
        <s v="ORD-0305"/>
        <s v="ORD-0306"/>
        <s v="ORD-0307"/>
        <s v="ORD-0308"/>
        <s v="ORD-0309"/>
        <s v="ORD-0310"/>
        <s v="ORD-0311"/>
        <s v="ORD-0312"/>
        <s v="ORD-0313"/>
        <s v="ORD-0314"/>
        <s v="ORD-0315"/>
        <s v="ORD-0316"/>
        <s v="ORD-0317"/>
        <s v="ORD-0318"/>
        <s v="ORD-0319"/>
        <s v="ORD-0320"/>
        <s v="ORD-0321"/>
        <s v="ORD-0322"/>
        <s v="ORD-0323"/>
        <s v="ORD-0324"/>
        <s v="ORD-0325"/>
        <s v="ORD-0326"/>
        <s v="ORD-0327"/>
        <s v="ORD-0328"/>
        <s v="ORD-0329"/>
        <s v="ORD-0330"/>
        <s v="ORD-0331"/>
        <s v="ORD-0332"/>
        <s v="ORD-0333"/>
        <s v="ORD-0334"/>
        <s v="ORD-0335"/>
        <s v="ORD-0336"/>
        <s v="ORD-0337"/>
        <s v="ORD-0338"/>
        <s v="ORD-0339"/>
        <s v="ORD-0340"/>
        <s v="ORD-0341"/>
        <s v="ORD-0342"/>
        <s v="ORD-0343"/>
        <s v="ORD-0344"/>
        <s v="ORD-0345"/>
        <s v="ORD-0346"/>
        <s v="ORD-0347"/>
        <s v="ORD-0348"/>
        <s v="ORD-0349"/>
        <s v="ORD-0350"/>
        <s v="ORD-0351"/>
        <s v="ORD-0352"/>
        <s v="ORD-0353"/>
        <s v="ORD-0354"/>
        <s v="ORD-0355"/>
        <s v="ORD-0356"/>
        <s v="ORD-0357"/>
        <s v="ORD-0358"/>
        <s v="ORD-0359"/>
        <s v="ORD-0360"/>
        <s v="ORD-0361"/>
        <s v="ORD-0362"/>
        <s v="ORD-0363"/>
        <s v="ORD-0364"/>
        <s v="ORD-0365"/>
        <s v="ORD-0366"/>
        <s v="ORD-0367"/>
        <s v="ORD-0368"/>
        <s v="ORD-0369"/>
        <s v="ORD-0370"/>
        <s v="ORD-0371"/>
        <s v="ORD-0372"/>
        <s v="ORD-0373"/>
        <s v="ORD-0374"/>
        <s v="ORD-0375"/>
        <s v="ORD-0376"/>
        <s v="ORD-0377"/>
        <s v="ORD-0378"/>
        <s v="ORD-0379"/>
        <s v="ORD-0380"/>
        <s v="ORD-0381"/>
        <s v="ORD-0382"/>
        <s v="ORD-0383"/>
        <s v="ORD-0384"/>
        <s v="ORD-0385"/>
        <s v="ORD-0386"/>
        <s v="ORD-0387"/>
        <s v="ORD-0388"/>
        <s v="ORD-0389"/>
        <s v="ORD-0390"/>
        <s v="ORD-0391"/>
        <s v="ORD-0392"/>
        <s v="ORD-0393"/>
        <s v="ORD-0394"/>
        <s v="ORD-0395"/>
        <s v="ORD-0396"/>
        <s v="ORD-0397"/>
        <s v="ORD-0398"/>
        <s v="ORD-0399"/>
        <s v="ORD-0400"/>
        <s v="ORD-0401"/>
        <s v="ORD-0402"/>
        <s v="ORD-0403"/>
        <s v="ORD-0404"/>
        <s v="ORD-0405"/>
        <s v="ORD-0406"/>
        <s v="ORD-0407"/>
        <s v="ORD-0408"/>
        <s v="ORD-0409"/>
        <s v="ORD-0410"/>
        <s v="ORD-0411"/>
        <s v="ORD-0412"/>
        <s v="ORD-0413"/>
        <s v="ORD-0414"/>
        <s v="ORD-0415"/>
        <s v="ORD-0416"/>
        <s v="ORD-0417"/>
        <s v="ORD-0418"/>
        <s v="ORD-0419"/>
        <s v="ORD-0420"/>
        <s v="ORD-0421"/>
        <s v="ORD-0422"/>
        <s v="ORD-0423"/>
        <s v="ORD-0424"/>
        <s v="ORD-0425"/>
        <s v="ORD-0426"/>
        <s v="ORD-0427"/>
        <s v="ORD-0428"/>
        <s v="ORD-0429"/>
        <s v="ORD-0430"/>
        <s v="ORD-0431"/>
        <s v="ORD-0432"/>
        <s v="ORD-0433"/>
        <s v="ORD-0434"/>
        <s v="ORD-0435"/>
        <s v="ORD-0436"/>
        <s v="ORD-0437"/>
        <s v="ORD-0438"/>
        <s v="ORD-0439"/>
        <s v="ORD-0440"/>
        <s v="ORD-0441"/>
        <s v="ORD-0442"/>
        <s v="ORD-0443"/>
        <s v="ORD-0444"/>
        <s v="ORD-0445"/>
        <s v="ORD-0446"/>
        <s v="ORD-0447"/>
        <s v="ORD-0448"/>
        <s v="ORD-0449"/>
        <s v="ORD-0450"/>
        <s v="ORD-0451"/>
        <s v="ORD-0452"/>
        <s v="ORD-0453"/>
        <s v="ORD-0454"/>
        <s v="ORD-0455"/>
        <s v="ORD-0456"/>
        <s v="ORD-0457"/>
        <s v="ORD-0458"/>
        <s v="ORD-0459"/>
        <s v="ORD-0460"/>
        <s v="ORD-0461"/>
        <s v="ORD-0462"/>
        <s v="ORD-0463"/>
        <s v="ORD-0464"/>
        <s v="ORD-0465"/>
        <s v="ORD-0466"/>
        <s v="ORD-0467"/>
        <s v="ORD-0468"/>
        <s v="ORD-0469"/>
        <s v="ORD-0470"/>
        <s v="ORD-0471"/>
        <s v="ORD-0472"/>
        <s v="ORD-0473"/>
        <s v="ORD-0474"/>
        <s v="ORD-0475"/>
        <s v="ORD-0476"/>
        <s v="ORD-0477"/>
        <s v="ORD-0478"/>
        <s v="ORD-0479"/>
        <s v="ORD-0480"/>
        <s v="ORD-0481"/>
        <s v="ORD-0482"/>
        <s v="ORD-0483"/>
        <s v="ORD-0484"/>
        <s v="ORD-0485"/>
        <s v="ORD-0486"/>
        <s v="ORD-0487"/>
        <s v="ORD-0488"/>
        <s v="ORD-0489"/>
        <s v="ORD-0490"/>
        <s v="ORD-0491"/>
        <s v="ORD-0492"/>
        <s v="ORD-0493"/>
        <s v="ORD-0494"/>
        <s v="ORD-0495"/>
        <s v="ORD-0496"/>
        <s v="ORD-0497"/>
        <s v="ORD-0498"/>
        <s v="ORD-0499"/>
        <s v="ORD-0500"/>
        <s v="ORD-0501"/>
        <s v="ORD-0502"/>
        <s v="ORD-0503"/>
        <s v="ORD-0504"/>
        <s v="ORD-0505"/>
        <s v="ORD-0506"/>
        <s v="ORD-0507"/>
        <s v="ORD-0508"/>
        <s v="ORD-0509"/>
        <s v="ORD-0510"/>
        <s v="ORD-0511"/>
        <s v="ORD-0512"/>
        <s v="ORD-0513"/>
        <s v="ORD-0514"/>
        <s v="ORD-0515"/>
        <s v="ORD-0516"/>
        <s v="ORD-0517"/>
        <s v="ORD-0518"/>
        <s v="ORD-0519"/>
        <s v="ORD-0520"/>
        <s v="ORD-0521"/>
        <s v="ORD-0522"/>
        <s v="ORD-0523"/>
        <s v="ORD-0524"/>
        <s v="ORD-0525"/>
        <s v="ORD-0526"/>
        <s v="ORD-0527"/>
        <s v="ORD-0528"/>
        <s v="ORD-0529"/>
        <s v="ORD-0530"/>
        <s v="ORD-0531"/>
        <s v="ORD-0532"/>
        <s v="ORD-0533"/>
        <s v="ORD-0534"/>
        <s v="ORD-0535"/>
        <s v="ORD-0536"/>
        <s v="ORD-0537"/>
        <s v="ORD-0538"/>
        <s v="ORD-0539"/>
        <s v="ORD-0540"/>
        <s v="ORD-0541"/>
        <s v="ORD-0542"/>
        <s v="ORD-0543"/>
        <s v="ORD-0544"/>
        <s v="ORD-0545"/>
        <s v="ORD-0546"/>
        <s v="ORD-0547"/>
        <s v="ORD-0548"/>
        <s v="ORD-0549"/>
        <s v="ORD-0550"/>
        <s v="ORD-0551"/>
        <s v="ORD-0552"/>
        <s v="ORD-0553"/>
        <s v="ORD-0554"/>
        <s v="ORD-0555"/>
        <s v="ORD-0556"/>
        <s v="ORD-0557"/>
        <s v="ORD-0558"/>
        <s v="ORD-0559"/>
        <s v="ORD-0560"/>
        <s v="ORD-0561"/>
        <s v="ORD-0562"/>
        <s v="ORD-0563"/>
        <s v="ORD-0564"/>
        <s v="ORD-0565"/>
        <s v="ORD-0566"/>
        <s v="ORD-0567"/>
        <s v="ORD-0568"/>
        <s v="ORD-0569"/>
        <s v="ORD-0570"/>
        <s v="ORD-0571"/>
        <s v="ORD-0572"/>
        <s v="ORD-0573"/>
        <s v="ORD-0574"/>
        <s v="ORD-0575"/>
        <s v="ORD-0576"/>
        <s v="ORD-0577"/>
        <s v="ORD-0578"/>
        <s v="ORD-0579"/>
        <s v="ORD-0580"/>
        <s v="ORD-0581"/>
        <s v="ORD-0582"/>
        <s v="ORD-0583"/>
        <s v="ORD-0584"/>
        <s v="ORD-0585"/>
        <s v="ORD-0586"/>
        <s v="ORD-0587"/>
        <s v="ORD-0588"/>
        <s v="ORD-0589"/>
        <s v="ORD-0590"/>
        <s v="ORD-0591"/>
        <s v="ORD-0592"/>
        <s v="ORD-0593"/>
        <s v="ORD-0594"/>
        <s v="ORD-0595"/>
        <s v="ORD-0596"/>
        <s v="ORD-0597"/>
        <s v="ORD-0598"/>
        <s v="ORD-0599"/>
        <s v="ORD-0600"/>
        <s v="ORD-0601"/>
        <s v="ORD-0602"/>
        <s v="ORD-0603"/>
        <s v="ORD-0604"/>
        <s v="ORD-0605"/>
        <s v="ORD-0606"/>
        <s v="ORD-0607"/>
        <s v="ORD-0608"/>
        <s v="ORD-0609"/>
        <s v="ORD-0610"/>
        <s v="ORD-0611"/>
        <s v="ORD-0612"/>
        <s v="ORD-0613"/>
        <s v="ORD-0614"/>
        <s v="ORD-0615"/>
        <s v="ORD-0616"/>
        <s v="ORD-0617"/>
        <s v="ORD-0618"/>
        <s v="ORD-0619"/>
        <s v="ORD-0620"/>
        <s v="ORD-0621"/>
        <s v="ORD-0622"/>
        <s v="ORD-0623"/>
        <s v="ORD-0624"/>
        <s v="ORD-0625"/>
        <s v="ORD-0626"/>
        <s v="ORD-0627"/>
        <s v="ORD-0628"/>
        <s v="ORD-0629"/>
        <s v="ORD-0630"/>
        <s v="ORD-0631"/>
        <s v="ORD-0632"/>
        <s v="ORD-0633"/>
        <s v="ORD-0634"/>
        <s v="ORD-0635"/>
        <s v="ORD-0636"/>
        <s v="ORD-0637"/>
        <s v="ORD-0638"/>
        <s v="ORD-0639"/>
        <s v="ORD-0640"/>
        <s v="ORD-0641"/>
        <s v="ORD-0642"/>
        <s v="ORD-0643"/>
        <s v="ORD-0644"/>
        <s v="ORD-0645"/>
        <s v="ORD-0646"/>
        <s v="ORD-0647"/>
        <s v="ORD-0648"/>
        <s v="ORD-0649"/>
        <s v="ORD-0650"/>
        <s v="ORD-0651"/>
        <s v="ORD-0652"/>
        <s v="ORD-0653"/>
        <s v="ORD-0654"/>
        <s v="ORD-0655"/>
        <s v="ORD-0656"/>
        <s v="ORD-0657"/>
        <s v="ORD-0658"/>
        <s v="ORD-0659"/>
        <s v="ORD-0660"/>
        <s v="ORD-0661"/>
        <s v="ORD-0662"/>
        <s v="ORD-0663"/>
        <s v="ORD-0664"/>
        <s v="ORD-0665"/>
        <s v="ORD-0666"/>
        <s v="ORD-0667"/>
        <s v="ORD-0668"/>
        <s v="ORD-0669"/>
        <s v="ORD-0670"/>
        <s v="ORD-0671"/>
        <s v="ORD-0672"/>
        <s v="ORD-0673"/>
        <s v="ORD-0674"/>
        <s v="ORD-0675"/>
        <s v="ORD-0676"/>
        <s v="ORD-0677"/>
        <s v="ORD-0678"/>
        <s v="ORD-0679"/>
        <s v="ORD-0680"/>
        <s v="ORD-0681"/>
        <s v="ORD-0682"/>
        <s v="ORD-0683"/>
        <s v="ORD-0684"/>
        <s v="ORD-0685"/>
        <s v="ORD-0686"/>
        <s v="ORD-0687"/>
        <s v="ORD-0688"/>
        <s v="ORD-0689"/>
        <s v="ORD-0690"/>
        <s v="ORD-0691"/>
        <s v="ORD-0692"/>
        <s v="ORD-0693"/>
        <s v="ORD-0694"/>
        <s v="ORD-0695"/>
        <s v="ORD-0696"/>
        <s v="ORD-0697"/>
        <s v="ORD-0698"/>
        <s v="ORD-0699"/>
        <s v="ORD-0700"/>
        <s v="ORD-0701"/>
        <s v="ORD-0702"/>
        <s v="ORD-0703"/>
        <s v="ORD-0704"/>
        <s v="ORD-0705"/>
        <s v="ORD-0706"/>
        <s v="ORD-0707"/>
        <s v="ORD-0708"/>
        <s v="ORD-0709"/>
        <s v="ORD-0710"/>
        <s v="ORD-0711"/>
        <s v="ORD-0712"/>
        <s v="ORD-0713"/>
        <s v="ORD-0714"/>
        <s v="ORD-0715"/>
        <s v="ORD-0716"/>
        <s v="ORD-0717"/>
        <s v="ORD-0718"/>
        <s v="ORD-0719"/>
        <s v="ORD-0720"/>
        <s v="ORD-0721"/>
        <s v="ORD-0722"/>
        <s v="ORD-0723"/>
        <s v="ORD-0724"/>
        <s v="ORD-0725"/>
        <s v="ORD-0726"/>
        <s v="ORD-0727"/>
        <s v="ORD-0728"/>
        <s v="ORD-0729"/>
        <s v="ORD-0730"/>
        <s v="ORD-0731"/>
        <s v="ORD-0732"/>
        <s v="ORD-0733"/>
        <s v="ORD-0734"/>
        <s v="ORD-0735"/>
        <s v="ORD-0736"/>
        <s v="ORD-0737"/>
        <s v="ORD-0738"/>
        <s v="ORD-0739"/>
        <s v="ORD-0740"/>
        <s v="ORD-0741"/>
        <s v="ORD-0742"/>
        <s v="ORD-0743"/>
        <s v="ORD-0744"/>
        <s v="ORD-0745"/>
        <s v="ORD-0746"/>
        <s v="ORD-0747"/>
        <s v="ORD-0748"/>
        <s v="ORD-0749"/>
        <s v="ORD-0750"/>
        <s v="ORD-0751"/>
        <s v="ORD-0752"/>
        <s v="ORD-0753"/>
        <s v="ORD-0754"/>
        <s v="ORD-0755"/>
        <s v="ORD-0756"/>
        <s v="ORD-0757"/>
        <s v="ORD-0758"/>
        <s v="ORD-0759"/>
        <s v="ORD-0760"/>
        <s v="ORD-0761"/>
        <s v="ORD-0762"/>
        <s v="ORD-0763"/>
        <s v="ORD-0764"/>
        <s v="ORD-0765"/>
        <s v="ORD-0766"/>
        <s v="ORD-0767"/>
        <s v="ORD-0768"/>
        <s v="ORD-0769"/>
        <s v="ORD-0770"/>
        <s v="ORD-0771"/>
        <s v="ORD-0772"/>
        <s v="ORD-0773"/>
        <s v="ORD-0774"/>
        <s v="ORD-0775"/>
        <s v="ORD-0776"/>
        <s v="ORD-0777"/>
        <s v="ORD-0778"/>
        <s v="ORD-0779"/>
        <s v="ORD-0780"/>
        <s v="ORD-0781"/>
        <s v="ORD-0782"/>
        <s v="ORD-0783"/>
        <s v="ORD-0784"/>
        <s v="ORD-0785"/>
        <s v="ORD-0786"/>
        <s v="ORD-0787"/>
        <s v="ORD-0788"/>
        <s v="ORD-0789"/>
        <s v="ORD-0790"/>
        <s v="ORD-0791"/>
        <s v="ORD-0792"/>
        <s v="ORD-0793"/>
        <s v="ORD-0794"/>
        <s v="ORD-0795"/>
        <s v="ORD-0796"/>
        <s v="ORD-0797"/>
        <s v="ORD-0798"/>
        <s v="ORD-0799"/>
        <s v="ORD-0800"/>
        <s v="ORD-0801"/>
        <s v="ORD-0802"/>
        <s v="ORD-0803"/>
        <s v="ORD-0804"/>
        <s v="ORD-0805"/>
        <s v="ORD-0806"/>
        <s v="ORD-0807"/>
        <s v="ORD-0808"/>
        <s v="ORD-0809"/>
        <s v="ORD-0810"/>
        <s v="ORD-0811"/>
        <s v="ORD-0812"/>
        <s v="ORD-0813"/>
        <s v="ORD-0814"/>
        <s v="ORD-0815"/>
        <s v="ORD-0816"/>
        <s v="ORD-0817"/>
        <s v="ORD-0818"/>
        <s v="ORD-0819"/>
        <s v="ORD-0820"/>
        <s v="ORD-0821"/>
        <s v="ORD-0822"/>
        <s v="ORD-0823"/>
        <s v="ORD-0824"/>
        <s v="ORD-0825"/>
        <s v="ORD-0826"/>
        <s v="ORD-0827"/>
        <s v="ORD-0828"/>
        <s v="ORD-0829"/>
        <s v="ORD-0830"/>
        <s v="ORD-0831"/>
        <s v="ORD-0832"/>
        <s v="ORD-0833"/>
        <s v="ORD-0834"/>
        <s v="ORD-0835"/>
        <s v="ORD-0836"/>
        <s v="ORD-0837"/>
        <s v="ORD-0838"/>
        <s v="ORD-0839"/>
        <s v="ORD-0840"/>
        <s v="ORD-0841"/>
        <s v="ORD-0842"/>
        <s v="ORD-0843"/>
        <s v="ORD-0844"/>
        <s v="ORD-0845"/>
        <s v="ORD-0846"/>
        <s v="ORD-0847"/>
        <s v="ORD-0848"/>
        <s v="ORD-0849"/>
        <s v="ORD-0850"/>
        <s v="ORD-0851"/>
        <s v="ORD-0852"/>
        <s v="ORD-0853"/>
        <s v="ORD-0854"/>
        <s v="ORD-0855"/>
        <s v="ORD-0856"/>
        <s v="ORD-0857"/>
        <s v="ORD-0858"/>
        <s v="ORD-0859"/>
        <s v="ORD-0860"/>
        <s v="ORD-0861"/>
        <s v="ORD-0862"/>
        <s v="ORD-0863"/>
        <s v="ORD-0864"/>
        <s v="ORD-0865"/>
        <s v="ORD-0866"/>
        <s v="ORD-0867"/>
        <s v="ORD-0868"/>
        <s v="ORD-0869"/>
        <s v="ORD-0870"/>
        <s v="ORD-0871"/>
        <s v="ORD-0872"/>
        <s v="ORD-0873"/>
        <s v="ORD-0874"/>
        <s v="ORD-0875"/>
        <s v="ORD-0876"/>
        <s v="ORD-0877"/>
        <s v="ORD-0878"/>
        <s v="ORD-0879"/>
        <s v="ORD-0880"/>
        <s v="ORD-0881"/>
        <s v="ORD-0882"/>
        <s v="ORD-0883"/>
        <s v="ORD-0884"/>
        <s v="ORD-0885"/>
        <s v="ORD-0886"/>
        <s v="ORD-0887"/>
        <s v="ORD-0888"/>
        <s v="ORD-0889"/>
        <s v="ORD-0890"/>
        <s v="ORD-0891"/>
        <s v="ORD-0892"/>
        <s v="ORD-0893"/>
        <s v="ORD-0894"/>
        <s v="ORD-0895"/>
        <s v="ORD-0896"/>
        <s v="ORD-0897"/>
        <s v="ORD-0898"/>
        <s v="ORD-0899"/>
        <s v="ORD-0900"/>
      </sharedItems>
    </cacheField>
    <cacheField name="Order Date" numFmtId="0">
      <sharedItems containsSemiMixedTypes="0" containsNonDate="0" containsDate="1" containsString="0" minDate="2023-01-01T00:00:00" maxDate="2025-12-27T00:00:00" count="609">
        <d v="2023-01-01T00:00:00"/>
        <d v="2023-01-02T00:00:00"/>
        <d v="2023-01-03T00:00:00"/>
        <d v="2023-01-07T00:00:00"/>
        <d v="2023-01-10T00:00:00"/>
        <d v="2023-01-14T00:00:00"/>
        <d v="2023-01-15T00:00:00"/>
        <d v="2023-01-18T00:00:00"/>
        <d v="2023-01-19T00:00:00"/>
        <d v="2023-01-21T00:00:00"/>
        <d v="2023-01-24T00:00:00"/>
        <d v="2023-01-27T00:00:00"/>
        <d v="2023-01-28T00:00:00"/>
        <d v="2023-02-01T00:00:00"/>
        <d v="2023-02-02T00:00:00"/>
        <d v="2023-02-03T00:00:00"/>
        <d v="2023-02-04T00:00:00"/>
        <d v="2023-02-06T00:00:00"/>
        <d v="2023-02-08T00:00:00"/>
        <d v="2023-02-11T00:00:00"/>
        <d v="2023-02-13T00:00:00"/>
        <d v="2023-02-14T00:00:00"/>
        <d v="2023-02-15T00:00:00"/>
        <d v="2023-02-16T00:00:00"/>
        <d v="2023-02-18T00:00:00"/>
        <d v="2023-02-19T00:00:00"/>
        <d v="2023-02-21T00:00:00"/>
        <d v="2023-02-22T00:00:00"/>
        <d v="2023-02-23T00:00:00"/>
        <d v="2023-02-24T00:00:00"/>
        <d v="2023-02-25T00:00:00"/>
        <d v="2023-02-27T00:00:00"/>
        <d v="2023-03-01T00:00:00"/>
        <d v="2023-03-03T00:00:00"/>
        <d v="2023-03-05T00:00:00"/>
        <d v="2023-03-06T00:00:00"/>
        <d v="2023-03-07T00:00:00"/>
        <d v="2023-03-08T00:00:00"/>
        <d v="2023-03-09T00:00:00"/>
        <d v="2023-03-14T00:00:00"/>
        <d v="2023-03-15T00:00:00"/>
        <d v="2023-03-16T00:00:00"/>
        <d v="2023-03-20T00:00:00"/>
        <d v="2023-03-26T00:00:00"/>
        <d v="2023-03-27T00:00:00"/>
        <d v="2023-03-28T00:00:00"/>
        <d v="2023-04-02T00:00:00"/>
        <d v="2023-04-04T00:00:00"/>
        <d v="2023-04-05T00:00:00"/>
        <d v="2023-04-07T00:00:00"/>
        <d v="2023-04-08T00:00:00"/>
        <d v="2023-04-09T00:00:00"/>
        <d v="2023-04-10T00:00:00"/>
        <d v="2023-04-11T00:00:00"/>
        <d v="2023-04-13T00:00:00"/>
        <d v="2023-04-15T00:00:00"/>
        <d v="2023-04-16T00:00:00"/>
        <d v="2023-04-17T00:00:00"/>
        <d v="2023-04-23T00:00:00"/>
        <d v="2023-04-24T00:00:00"/>
        <d v="2023-04-25T00:00:00"/>
        <d v="2023-04-27T00:00:00"/>
        <d v="2023-05-01T00:00:00"/>
        <d v="2023-05-02T00:00:00"/>
        <d v="2023-05-05T00:00:00"/>
        <d v="2023-05-07T00:00:00"/>
        <d v="2023-05-08T00:00:00"/>
        <d v="2023-05-09T00:00:00"/>
        <d v="2023-05-10T00:00:00"/>
        <d v="2023-05-14T00:00:00"/>
        <d v="2023-05-15T00:00:00"/>
        <d v="2023-05-19T00:00:00"/>
        <d v="2023-05-20T00:00:00"/>
        <d v="2023-05-21T00:00:00"/>
        <d v="2023-05-23T00:00:00"/>
        <d v="2023-05-26T00:00:00"/>
        <d v="2023-06-03T00:00:00"/>
        <d v="2023-06-04T00:00:00"/>
        <d v="2023-06-05T00:00:00"/>
        <d v="2023-06-06T00:00:00"/>
        <d v="2023-06-10T00:00:00"/>
        <d v="2023-06-12T00:00:00"/>
        <d v="2023-06-13T00:00:00"/>
        <d v="2023-06-16T00:00:00"/>
        <d v="2023-06-17T00:00:00"/>
        <d v="2023-06-21T00:00:00"/>
        <d v="2023-06-23T00:00:00"/>
        <d v="2023-06-26T00:00:00"/>
        <d v="2023-06-27T00:00:00"/>
        <d v="2023-06-28T00:00:00"/>
        <d v="2023-07-01T00:00:00"/>
        <d v="2023-07-06T00:00:00"/>
        <d v="2023-07-08T00:00:00"/>
        <d v="2023-07-14T00:00:00"/>
        <d v="2023-07-15T00:00:00"/>
        <d v="2023-07-16T00:00:00"/>
        <d v="2023-07-17T00:00:00"/>
        <d v="2023-07-19T00:00:00"/>
        <d v="2023-07-20T00:00:00"/>
        <d v="2023-07-22T00:00:00"/>
        <d v="2023-07-25T00:00:00"/>
        <d v="2023-07-28T00:00:00"/>
        <d v="2023-08-04T00:00:00"/>
        <d v="2023-08-05T00:00:00"/>
        <d v="2023-08-08T00:00:00"/>
        <d v="2023-08-09T00:00:00"/>
        <d v="2023-08-12T00:00:00"/>
        <d v="2023-08-15T00:00:00"/>
        <d v="2023-08-17T00:00:00"/>
        <d v="2023-08-18T00:00:00"/>
        <d v="2023-08-19T00:00:00"/>
        <d v="2023-08-20T00:00:00"/>
        <d v="2023-08-22T00:00:00"/>
        <d v="2023-08-26T00:00:00"/>
        <d v="2023-08-28T00:00:00"/>
        <d v="2023-09-01T00:00:00"/>
        <d v="2023-09-02T00:00:00"/>
        <d v="2023-09-05T00:00:00"/>
        <d v="2023-09-06T00:00:00"/>
        <d v="2023-09-07T00:00:00"/>
        <d v="2023-09-09T00:00:00"/>
        <d v="2023-09-10T00:00:00"/>
        <d v="2023-09-11T00:00:00"/>
        <d v="2023-09-12T00:00:00"/>
        <d v="2023-09-13T00:00:00"/>
        <d v="2023-09-14T00:00:00"/>
        <d v="2023-09-16T00:00:00"/>
        <d v="2023-09-17T00:00:00"/>
        <d v="2023-09-21T00:00:00"/>
        <d v="2023-09-22T00:00:00"/>
        <d v="2023-09-23T00:00:00"/>
        <d v="2023-09-28T00:00:00"/>
        <d v="2023-10-01T00:00:00"/>
        <d v="2023-10-03T00:00:00"/>
        <d v="2023-10-04T00:00:00"/>
        <d v="2023-10-05T00:00:00"/>
        <d v="2023-10-06T00:00:00"/>
        <d v="2023-10-07T00:00:00"/>
        <d v="2023-10-08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21T00:00:00"/>
        <d v="2023-10-25T00:00:00"/>
        <d v="2023-10-26T00:00:00"/>
        <d v="2023-10-27T00:00:00"/>
        <d v="2023-10-28T00:00:00"/>
        <d v="2023-11-01T00:00:00"/>
        <d v="2023-11-02T00:00:00"/>
        <d v="2023-11-04T00:00:00"/>
        <d v="2023-11-06T00:00:00"/>
        <d v="2023-11-09T00:00:00"/>
        <d v="2023-11-12T00:00:00"/>
        <d v="2023-11-16T00:00:00"/>
        <d v="2023-11-17T00:00:00"/>
        <d v="2023-11-19T00:00:00"/>
        <d v="2023-11-21T00:00:00"/>
        <d v="2023-11-23T00:00:00"/>
        <d v="2023-11-24T00:00:00"/>
        <d v="2023-11-25T00:00:00"/>
        <d v="2023-11-27T00:00:00"/>
        <d v="2023-11-28T00:00:00"/>
        <d v="2023-12-02T00:00:00"/>
        <d v="2023-12-03T00:00:00"/>
        <d v="2023-12-04T00:00:00"/>
        <d v="2023-12-05T00:00:00"/>
        <d v="2023-12-07T00:00:00"/>
        <d v="2023-12-10T00:00:00"/>
        <d v="2023-12-11T00:00:00"/>
        <d v="2023-12-12T00:00:00"/>
        <d v="2023-12-13T00:00:00"/>
        <d v="2023-12-14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4-01-01T00:00:00"/>
        <d v="2024-01-04T00:00:00"/>
        <d v="2024-01-06T00:00:00"/>
        <d v="2024-01-07T00:00:00"/>
        <d v="2024-01-08T00:00:00"/>
        <d v="2024-01-09T00:00:00"/>
        <d v="2024-01-12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7T00:00:00"/>
        <d v="2024-01-28T00:00:00"/>
        <d v="2024-02-01T00:00:00"/>
        <d v="2024-02-02T00:00:00"/>
        <d v="2024-02-04T00:00:00"/>
        <d v="2024-02-05T00:00:00"/>
        <d v="2024-02-06T00:00:00"/>
        <d v="2024-02-07T00:00:00"/>
        <d v="2024-02-09T00:00:00"/>
        <d v="2024-02-11T00:00:00"/>
        <d v="2024-02-16T00:00:00"/>
        <d v="2024-02-20T00:00:00"/>
        <d v="2024-02-21T00:00:00"/>
        <d v="2024-02-22T00:00:00"/>
        <d v="2024-02-23T00:00:00"/>
        <d v="2024-02-27T00:00:00"/>
        <d v="2024-03-04T00:00:00"/>
        <d v="2024-03-07T00:00:00"/>
        <d v="2024-03-08T00:00:00"/>
        <d v="2024-03-10T00:00:00"/>
        <d v="2024-03-11T00:00:00"/>
        <d v="2024-03-12T00:00:00"/>
        <d v="2024-03-13T00:00:00"/>
        <d v="2024-03-17T00:00:00"/>
        <d v="2024-03-19T00:00:00"/>
        <d v="2024-03-21T00:00:00"/>
        <d v="2024-03-23T00:00:00"/>
        <d v="2024-03-24T00:00:00"/>
        <d v="2024-03-28T00:00:00"/>
        <d v="2024-04-02T00:00:00"/>
        <d v="2024-04-03T00:00:00"/>
        <d v="2024-04-05T00:00:00"/>
        <d v="2024-04-10T00:00:00"/>
        <d v="2024-04-12T00:00:00"/>
        <d v="2024-04-13T00:00:00"/>
        <d v="2024-04-14T00:00:00"/>
        <d v="2024-04-18T00:00:00"/>
        <d v="2024-04-21T00:00:00"/>
        <d v="2024-04-25T00:00:00"/>
        <d v="2024-04-27T00:00:00"/>
        <d v="2024-05-01T00:00:00"/>
        <d v="2024-05-04T00:00:00"/>
        <d v="2024-05-05T00:00:00"/>
        <d v="2024-05-07T00:00:00"/>
        <d v="2024-05-08T00:00:00"/>
        <d v="2024-05-09T00:00:00"/>
        <d v="2024-05-10T00:00:00"/>
        <d v="2024-05-12T00:00:00"/>
        <d v="2024-05-13T00:00:00"/>
        <d v="2024-05-14T00:00:00"/>
        <d v="2024-05-17T00:00:00"/>
        <d v="2024-05-19T00:00:00"/>
        <d v="2024-05-20T00:00:00"/>
        <d v="2024-05-21T00:00:00"/>
        <d v="2024-05-24T00:00:00"/>
        <d v="2024-05-25T00:00:00"/>
        <d v="2024-05-26T00:00:00"/>
        <d v="2024-05-27T00:00:00"/>
        <d v="2024-05-28T00:00:00"/>
        <d v="2024-06-02T00:00:00"/>
        <d v="2024-06-03T00:00:00"/>
        <d v="2024-06-04T00:00:00"/>
        <d v="2024-06-07T00:00:00"/>
        <d v="2024-06-08T00:00:00"/>
        <d v="2024-06-10T00:00:00"/>
        <d v="2024-06-12T00:00:00"/>
        <d v="2024-06-17T00:00:00"/>
        <d v="2024-06-18T00:00:00"/>
        <d v="2024-06-19T00:00:00"/>
        <d v="2024-06-21T00:00:00"/>
        <d v="2024-06-22T00:00:00"/>
        <d v="2024-06-25T00:00:00"/>
        <d v="2024-06-27T00:00:00"/>
        <d v="2024-07-03T00:00:00"/>
        <d v="2024-07-09T00:00:00"/>
        <d v="2024-07-12T00:00:00"/>
        <d v="2024-07-14T00:00:00"/>
        <d v="2024-07-15T00:00:00"/>
        <d v="2024-07-17T00:00:00"/>
        <d v="2024-07-18T00:00:00"/>
        <d v="2024-07-20T00:00:00"/>
        <d v="2024-07-22T00:00:00"/>
        <d v="2024-07-24T00:00:00"/>
        <d v="2024-08-03T00:00:00"/>
        <d v="2024-08-06T00:00:00"/>
        <d v="2024-08-07T00:00:00"/>
        <d v="2024-08-09T00:00:00"/>
        <d v="2024-08-10T00:00:00"/>
        <d v="2024-08-11T00:00:00"/>
        <d v="2024-08-12T00:00:00"/>
        <d v="2024-08-13T00:00:00"/>
        <d v="2024-08-15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9-01T00:00:00"/>
        <d v="2024-09-02T00:00:00"/>
        <d v="2024-09-03T00:00:00"/>
        <d v="2024-09-04T00:00:00"/>
        <d v="2024-09-07T00:00:00"/>
        <d v="2024-09-08T00:00:00"/>
        <d v="2024-09-09T00:00:00"/>
        <d v="2024-09-10T00:00:00"/>
        <d v="2024-09-12T00:00:00"/>
        <d v="2024-09-13T00:00:00"/>
        <d v="2024-09-14T00:00:00"/>
        <d v="2024-09-16T00:00:00"/>
        <d v="2024-09-17T00:00:00"/>
        <d v="2024-09-19T00:00:00"/>
        <d v="2024-09-21T00:00:00"/>
        <d v="2024-09-22T00:00:00"/>
        <d v="2024-09-23T00:00:00"/>
        <d v="2024-09-24T00:00:00"/>
        <d v="2024-09-25T00:00:00"/>
        <d v="2024-09-26T00:00:00"/>
        <d v="2024-10-01T00:00:00"/>
        <d v="2024-10-03T00:00:00"/>
        <d v="2024-10-05T00:00:00"/>
        <d v="2024-10-06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9T00:00:00"/>
        <d v="2024-10-20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1-01T00:00:00"/>
        <d v="2024-11-02T00:00:00"/>
        <d v="2024-11-03T00:00:00"/>
        <d v="2024-11-04T00:00:00"/>
        <d v="2024-11-06T00:00:00"/>
        <d v="2024-11-07T00:00:00"/>
        <d v="2024-11-08T00:00:00"/>
        <d v="2024-11-09T00:00:00"/>
        <d v="2024-11-10T00:00:00"/>
        <d v="2024-11-11T00:00:00"/>
        <d v="2024-11-13T00:00:00"/>
        <d v="2024-11-14T00:00:00"/>
        <d v="2024-11-15T00:00:00"/>
        <d v="2024-11-17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8T00:00:00"/>
        <d v="2024-12-01T00:00:00"/>
        <d v="2024-12-02T00:00:00"/>
        <d v="2024-12-03T00:00:00"/>
        <d v="2024-12-05T00:00:00"/>
        <d v="2024-12-06T00:00:00"/>
        <d v="2024-12-09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3T00:00:00"/>
        <d v="2024-12-25T00:00:00"/>
        <d v="2024-12-26T00:00:00"/>
        <d v="2024-12-27T00:00:00"/>
        <d v="2024-12-28T00:00:00"/>
        <d v="2025-01-02T00:00:00"/>
        <d v="2025-01-03T00:00:00"/>
        <d v="2025-01-04T00:00:00"/>
        <d v="2025-01-05T00:00:00"/>
        <d v="2025-01-09T00:00:00"/>
        <d v="2025-01-10T00:00:00"/>
        <d v="2025-01-14T00:00:00"/>
        <d v="2025-01-15T00:00:00"/>
        <d v="2025-01-16T00:00:00"/>
        <d v="2025-01-17T00:00:00"/>
        <d v="2025-01-22T00:00:00"/>
        <d v="2025-01-26T00:00:00"/>
        <d v="2025-01-28T00:00:00"/>
        <d v="2025-02-01T00:00:00"/>
        <d v="2025-02-02T00:00:00"/>
        <d v="2025-02-05T00:00:00"/>
        <d v="2025-02-08T00:00:00"/>
        <d v="2025-02-10T00:00:00"/>
        <d v="2025-02-11T00:00:00"/>
        <d v="2025-02-12T00:00:00"/>
        <d v="2025-02-13T00:00:00"/>
        <d v="2025-02-16T00:00:00"/>
        <d v="2025-02-18T00:00:00"/>
        <d v="2025-02-20T00:00:00"/>
        <d v="2025-02-22T00:00:00"/>
        <d v="2025-02-24T00:00:00"/>
        <d v="2025-02-25T00:00:00"/>
        <d v="2025-02-26T00:00:00"/>
        <d v="2025-02-28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8T00:00:00"/>
        <d v="2025-03-19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4-01T00:00:00"/>
        <d v="2025-04-02T00:00:00"/>
        <d v="2025-04-03T00:00:00"/>
        <d v="2025-04-05T00:00:00"/>
        <d v="2025-04-06T00:00:00"/>
        <d v="2025-04-07T00:00:00"/>
        <d v="2025-04-08T00:00:00"/>
        <d v="2025-04-12T00:00:00"/>
        <d v="2025-04-13T00:00:00"/>
        <d v="2025-04-15T00:00:00"/>
        <d v="2025-04-17T00:00:00"/>
        <d v="2025-04-18T00:00:00"/>
        <d v="2025-04-20T00:00:00"/>
        <d v="2025-04-21T00:00:00"/>
        <d v="2025-04-22T00:00:00"/>
        <d v="2025-04-24T00:00:00"/>
        <d v="2025-04-26T00:00:00"/>
        <d v="2025-04-27T00:00:00"/>
        <d v="2025-04-28T00:00:00"/>
        <d v="2025-05-01T00:00:00"/>
        <d v="2025-05-03T00:00:00"/>
        <d v="2025-05-04T00:00:00"/>
        <d v="2025-05-05T00:00:00"/>
        <d v="2025-05-06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6-01T00:00:00"/>
        <d v="2025-06-02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22T00:00:00"/>
        <d v="2025-06-23T00:00:00"/>
        <d v="2025-07-06T00:00:00"/>
        <d v="2025-07-07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9T00:00:00"/>
        <d v="2025-07-20T00:00:00"/>
        <d v="2025-07-22T00:00:00"/>
        <d v="2025-07-24T00:00:00"/>
        <d v="2025-07-26T00:00:00"/>
        <d v="2025-07-27T00:00:00"/>
        <d v="2025-07-28T00:00:00"/>
        <d v="2025-08-01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5T00:00:00"/>
        <d v="2025-08-16T00:00:00"/>
        <d v="2025-08-18T00:00:00"/>
        <d v="2025-08-20T00:00:00"/>
        <d v="2025-08-22T00:00:00"/>
        <d v="2025-08-24T00:00:00"/>
        <d v="2025-08-25T00:00:00"/>
        <d v="2025-08-28T00:00:00"/>
        <d v="2025-09-01T00:00:00"/>
        <d v="2025-09-03T00:00:00"/>
        <d v="2025-09-04T00:00:00"/>
        <d v="2025-09-05T00:00:00"/>
        <d v="2025-09-06T00:00:00"/>
        <d v="2025-09-08T00:00:00"/>
        <d v="2025-09-09T00:00:00"/>
        <d v="2025-09-15T00:00:00"/>
        <d v="2025-09-18T00:00:00"/>
        <d v="2025-09-19T00:00:00"/>
        <d v="2025-09-20T00:00:00"/>
        <d v="2025-09-21T00:00:00"/>
        <d v="2025-09-22T00:00:00"/>
        <d v="2025-09-24T00:00:00"/>
        <d v="2025-09-26T00:00:00"/>
        <d v="2025-09-27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1-03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3T00:00:00"/>
        <d v="2025-11-14T00:00:00"/>
        <d v="2025-11-15T00:00:00"/>
        <d v="2025-11-16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2-01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4T00:00:00"/>
        <d v="2025-12-25T00:00:00"/>
        <d v="2025-12-27T00:00:00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01 Jan"/>
        <s v="02 Feb"/>
        <s v="03 Mar"/>
        <s v="04 Apr"/>
        <s v="05 May"/>
        <s v="06 Jun"/>
        <s v="07 Jul"/>
        <s v="08 Aug"/>
        <s v="09 Sep"/>
        <s v="10 Oct"/>
        <s v="11 Nov"/>
        <s v="12 Dec"/>
      </sharedItems>
    </cacheField>
    <cacheField name="Region" numFmtId="0">
      <sharedItems count="5">
        <s v="Central"/>
        <s v="East"/>
        <s v="North"/>
        <s v="South"/>
        <s v="West"/>
      </sharedItems>
    </cacheField>
    <cacheField name="Category" numFmtId="0">
      <sharedItems count="4">
        <s v="Appliances"/>
        <s v="Electronics"/>
        <s v="Furniture"/>
        <s v="Stationery"/>
      </sharedItems>
    </cacheField>
    <cacheField name="Product" numFmtId="0">
      <sharedItems count="12">
        <s v="Air Purifier"/>
        <s v="Bookshelf"/>
        <s v="Desk Organizer"/>
        <s v="Gel Pen Box"/>
        <s v="Laptop"/>
        <s v="Microwave Oven"/>
        <s v="Notebook Pack"/>
        <s v="Office Chair"/>
        <s v="Smartphone"/>
        <s v="Standing Desk"/>
        <s v="Water Purifier"/>
        <s v="Wireless Earbuds"/>
      </sharedItems>
    </cacheField>
    <cacheField name="Sales Rep" numFmtId="0">
      <sharedItems count="10">
        <s v="Aarav Sharma"/>
        <s v="Amit Tiwari"/>
        <s v="Divya Nair"/>
        <s v="Karthik Iyer"/>
        <s v="Moumita Sen"/>
        <s v="Neha Verma"/>
        <s v="Pooja Mehta"/>
        <s v="Rohan Patil"/>
        <s v="Sneha Joshi"/>
        <s v="Subhash Das"/>
      </sharedItems>
    </cacheField>
    <cacheField name="Quantity" numFmtId="0">
      <sharedItems containsSemiMixedTypes="0" containsString="0" containsNumber="1" containsInteger="1" minValue="1" maxValue="50" count="4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4"/>
        <n v="45"/>
        <n v="46"/>
        <n v="48"/>
        <n v="49"/>
        <n v="50"/>
      </sharedItems>
    </cacheField>
    <cacheField name="Unit Price" numFmtId="0">
      <sharedItems containsSemiMixedTypes="0" containsString="0" containsNumber="1" containsInteger="1" minValue="290" maxValue="57730" count="492">
        <n v="290"/>
        <n v="300"/>
        <n v="310"/>
        <n v="430"/>
        <n v="440"/>
        <n v="450"/>
        <n v="460"/>
        <n v="470"/>
        <n v="670"/>
        <n v="680"/>
        <n v="690"/>
        <n v="700"/>
        <n v="710"/>
        <n v="720"/>
        <n v="730"/>
        <n v="3330"/>
        <n v="3340"/>
        <n v="3350"/>
        <n v="3360"/>
        <n v="3370"/>
        <n v="3380"/>
        <n v="3390"/>
        <n v="3400"/>
        <n v="3410"/>
        <n v="3420"/>
        <n v="3430"/>
        <n v="3440"/>
        <n v="3450"/>
        <n v="3460"/>
        <n v="3470"/>
        <n v="3480"/>
        <n v="3490"/>
        <n v="3500"/>
        <n v="3510"/>
        <n v="3520"/>
        <n v="3530"/>
        <n v="3540"/>
        <n v="3550"/>
        <n v="3560"/>
        <n v="3570"/>
        <n v="3590"/>
        <n v="3600"/>
        <n v="3610"/>
        <n v="3620"/>
        <n v="3630"/>
        <n v="3640"/>
        <n v="3650"/>
        <n v="3670"/>
        <n v="6180"/>
        <n v="6190"/>
        <n v="6200"/>
        <n v="6210"/>
        <n v="6220"/>
        <n v="6230"/>
        <n v="6240"/>
        <n v="6280"/>
        <n v="6290"/>
        <n v="6310"/>
        <n v="6330"/>
        <n v="6340"/>
        <n v="6350"/>
        <n v="6370"/>
        <n v="6380"/>
        <n v="6390"/>
        <n v="6410"/>
        <n v="6430"/>
        <n v="6440"/>
        <n v="6460"/>
        <n v="6470"/>
        <n v="6480"/>
        <n v="6510"/>
        <n v="6580"/>
        <n v="6600"/>
        <n v="6610"/>
        <n v="6640"/>
        <n v="6660"/>
        <n v="6670"/>
        <n v="6690"/>
        <n v="6710"/>
        <n v="6720"/>
        <n v="6730"/>
        <n v="6740"/>
        <n v="6760"/>
        <n v="6770"/>
        <n v="6780"/>
        <n v="6790"/>
        <n v="6810"/>
        <n v="6820"/>
        <n v="8570"/>
        <n v="8580"/>
        <n v="8590"/>
        <n v="8600"/>
        <n v="8630"/>
        <n v="8640"/>
        <n v="8650"/>
        <n v="8660"/>
        <n v="8670"/>
        <n v="8680"/>
        <n v="8690"/>
        <n v="8710"/>
        <n v="8760"/>
        <n v="8780"/>
        <n v="8800"/>
        <n v="8830"/>
        <n v="8850"/>
        <n v="8860"/>
        <n v="8880"/>
        <n v="8890"/>
        <n v="8900"/>
        <n v="8920"/>
        <n v="8930"/>
        <n v="8940"/>
        <n v="8950"/>
        <n v="8980"/>
        <n v="8990"/>
        <n v="9000"/>
        <n v="9010"/>
        <n v="9020"/>
        <n v="9050"/>
        <n v="9060"/>
        <n v="9080"/>
        <n v="9100"/>
        <n v="9120"/>
        <n v="9150"/>
        <n v="9210"/>
        <n v="9230"/>
        <n v="9240"/>
        <n v="9260"/>
        <n v="9270"/>
        <n v="9280"/>
        <n v="9290"/>
        <n v="9300"/>
        <n v="9320"/>
        <n v="9330"/>
        <n v="9340"/>
        <n v="9350"/>
        <n v="9360"/>
        <n v="9370"/>
        <n v="9440"/>
        <n v="10460"/>
        <n v="10470"/>
        <n v="10480"/>
        <n v="10500"/>
        <n v="10510"/>
        <n v="10520"/>
        <n v="10530"/>
        <n v="10550"/>
        <n v="10560"/>
        <n v="10580"/>
        <n v="10620"/>
        <n v="10640"/>
        <n v="10650"/>
        <n v="10660"/>
        <n v="10670"/>
        <n v="10690"/>
        <n v="10710"/>
        <n v="10720"/>
        <n v="10740"/>
        <n v="10750"/>
        <n v="10820"/>
        <n v="10830"/>
        <n v="10840"/>
        <n v="10850"/>
        <n v="10860"/>
        <n v="10870"/>
        <n v="10880"/>
        <n v="10890"/>
        <n v="10950"/>
        <n v="10990"/>
        <n v="11000"/>
        <n v="11010"/>
        <n v="11020"/>
        <n v="11030"/>
        <n v="11080"/>
        <n v="11150"/>
        <n v="11180"/>
        <n v="11190"/>
        <n v="11200"/>
        <n v="11230"/>
        <n v="11240"/>
        <n v="11250"/>
        <n v="11310"/>
        <n v="11380"/>
        <n v="11420"/>
        <n v="11430"/>
        <n v="11450"/>
        <n v="11460"/>
        <n v="11470"/>
        <n v="11480"/>
        <n v="11490"/>
        <n v="11500"/>
        <n v="11510"/>
        <n v="11520"/>
        <n v="11550"/>
        <n v="12850"/>
        <n v="12860"/>
        <n v="12870"/>
        <n v="12900"/>
        <n v="13030"/>
        <n v="13120"/>
        <n v="13130"/>
        <n v="13150"/>
        <n v="13220"/>
        <n v="13270"/>
        <n v="13300"/>
        <n v="13310"/>
        <n v="13320"/>
        <n v="13330"/>
        <n v="13340"/>
        <n v="13350"/>
        <n v="13360"/>
        <n v="13390"/>
        <n v="13400"/>
        <n v="13420"/>
        <n v="13440"/>
        <n v="13450"/>
        <n v="13460"/>
        <n v="13490"/>
        <n v="13500"/>
        <n v="13510"/>
        <n v="13520"/>
        <n v="13530"/>
        <n v="13540"/>
        <n v="13550"/>
        <n v="13560"/>
        <n v="13570"/>
        <n v="13580"/>
        <n v="13590"/>
        <n v="13600"/>
        <n v="13620"/>
        <n v="13630"/>
        <n v="13650"/>
        <n v="13660"/>
        <n v="13680"/>
        <n v="13710"/>
        <n v="13720"/>
        <n v="13730"/>
        <n v="13750"/>
        <n v="13760"/>
        <n v="13770"/>
        <n v="13780"/>
        <n v="13800"/>
        <n v="13810"/>
        <n v="13820"/>
        <n v="13860"/>
        <n v="13870"/>
        <n v="13880"/>
        <n v="13900"/>
        <n v="13910"/>
        <n v="13950"/>
        <n v="13970"/>
        <n v="13980"/>
        <n v="14000"/>
        <n v="14030"/>
        <n v="14040"/>
        <n v="14080"/>
        <n v="14090"/>
        <n v="14100"/>
        <n v="14120"/>
        <n v="14130"/>
        <n v="14140"/>
        <n v="14160"/>
        <n v="14210"/>
        <n v="14230"/>
        <n v="14260"/>
        <n v="14280"/>
        <n v="14290"/>
        <n v="14330"/>
        <n v="14380"/>
        <n v="14440"/>
        <n v="14460"/>
        <n v="14470"/>
        <n v="14480"/>
        <n v="14510"/>
        <n v="14560"/>
        <n v="14650"/>
        <n v="14660"/>
        <n v="14670"/>
        <n v="14700"/>
        <n v="17110"/>
        <n v="17130"/>
        <n v="17140"/>
        <n v="17180"/>
        <n v="17210"/>
        <n v="17260"/>
        <n v="17280"/>
        <n v="17290"/>
        <n v="17300"/>
        <n v="17400"/>
        <n v="17460"/>
        <n v="17550"/>
        <n v="17560"/>
        <n v="17610"/>
        <n v="17630"/>
        <n v="17760"/>
        <n v="17800"/>
        <n v="17840"/>
        <n v="17860"/>
        <n v="17890"/>
        <n v="17910"/>
        <n v="17970"/>
        <n v="17980"/>
        <n v="18030"/>
        <n v="18040"/>
        <n v="18090"/>
        <n v="18130"/>
        <n v="18150"/>
        <n v="18160"/>
        <n v="18220"/>
        <n v="18260"/>
        <n v="18270"/>
        <n v="18280"/>
        <n v="18400"/>
        <n v="18420"/>
        <n v="18440"/>
        <n v="18460"/>
        <n v="18500"/>
        <n v="18550"/>
        <n v="18610"/>
        <n v="18630"/>
        <n v="18680"/>
        <n v="18690"/>
        <n v="18700"/>
        <n v="18770"/>
        <n v="18800"/>
        <n v="18840"/>
        <n v="18900"/>
        <n v="22830"/>
        <n v="22920"/>
        <n v="22950"/>
        <n v="22960"/>
        <n v="22970"/>
        <n v="22980"/>
        <n v="23000"/>
        <n v="23090"/>
        <n v="23100"/>
        <n v="23120"/>
        <n v="23140"/>
        <n v="23220"/>
        <n v="23230"/>
        <n v="23270"/>
        <n v="23280"/>
        <n v="23310"/>
        <n v="23340"/>
        <n v="23350"/>
        <n v="23370"/>
        <n v="23450"/>
        <n v="23460"/>
        <n v="23490"/>
        <n v="23500"/>
        <n v="23550"/>
        <n v="23600"/>
        <n v="23610"/>
        <n v="23640"/>
        <n v="23670"/>
        <n v="23680"/>
        <n v="23760"/>
        <n v="23840"/>
        <n v="23850"/>
        <n v="23910"/>
        <n v="23920"/>
        <n v="23960"/>
        <n v="24000"/>
        <n v="24020"/>
        <n v="24100"/>
        <n v="24120"/>
        <n v="24130"/>
        <n v="24150"/>
        <n v="24170"/>
        <n v="24210"/>
        <n v="24240"/>
        <n v="24260"/>
        <n v="24300"/>
        <n v="24310"/>
        <n v="24340"/>
        <n v="24350"/>
        <n v="24390"/>
        <n v="24420"/>
        <n v="24440"/>
        <n v="24450"/>
        <n v="24460"/>
        <n v="24470"/>
        <n v="24480"/>
        <n v="24510"/>
        <n v="24520"/>
        <n v="24570"/>
        <n v="24580"/>
        <n v="24590"/>
        <n v="24600"/>
        <n v="24640"/>
        <n v="24700"/>
        <n v="24730"/>
        <n v="24750"/>
        <n v="24760"/>
        <n v="24770"/>
        <n v="24780"/>
        <n v="24820"/>
        <n v="24860"/>
        <n v="24880"/>
        <n v="24910"/>
        <n v="24930"/>
        <n v="24940"/>
        <n v="25020"/>
        <n v="25080"/>
        <n v="25100"/>
        <n v="25150"/>
        <n v="25180"/>
        <n v="25190"/>
        <n v="25200"/>
        <n v="52370"/>
        <n v="52430"/>
        <n v="52440"/>
        <n v="52480"/>
        <n v="52580"/>
        <n v="52590"/>
        <n v="52610"/>
        <n v="52620"/>
        <n v="52760"/>
        <n v="52860"/>
        <n v="52880"/>
        <n v="52970"/>
        <n v="53070"/>
        <n v="53110"/>
        <n v="53230"/>
        <n v="53290"/>
        <n v="53340"/>
        <n v="53370"/>
        <n v="53380"/>
        <n v="53480"/>
        <n v="53500"/>
        <n v="53590"/>
        <n v="53710"/>
        <n v="53780"/>
        <n v="53840"/>
        <n v="53910"/>
        <n v="54030"/>
        <n v="54160"/>
        <n v="54170"/>
        <n v="54260"/>
        <n v="54280"/>
        <n v="54290"/>
        <n v="54440"/>
        <n v="54450"/>
        <n v="54480"/>
        <n v="54500"/>
        <n v="54550"/>
        <n v="54570"/>
        <n v="54620"/>
        <n v="54690"/>
        <n v="54700"/>
        <n v="54740"/>
        <n v="54790"/>
        <n v="54800"/>
        <n v="54920"/>
        <n v="54950"/>
        <n v="55020"/>
        <n v="55030"/>
        <n v="55050"/>
        <n v="55180"/>
        <n v="55300"/>
        <n v="55470"/>
        <n v="55540"/>
        <n v="55560"/>
        <n v="55630"/>
        <n v="55640"/>
        <n v="55660"/>
        <n v="55780"/>
        <n v="55820"/>
        <n v="55860"/>
        <n v="55930"/>
        <n v="56000"/>
        <n v="56020"/>
        <n v="56070"/>
        <n v="56100"/>
        <n v="56410"/>
        <n v="56660"/>
        <n v="56690"/>
        <n v="56710"/>
        <n v="56750"/>
        <n v="56790"/>
        <n v="56850"/>
        <n v="56950"/>
        <n v="56990"/>
        <n v="57120"/>
        <n v="57160"/>
        <n v="57220"/>
        <n v="57250"/>
        <n v="57330"/>
        <n v="57460"/>
        <n v="57630"/>
        <n v="57720"/>
        <n v="57730"/>
      </sharedItems>
    </cacheField>
    <cacheField name="Discount %" numFmtId="0">
      <sharedItems containsSemiMixedTypes="0" containsString="0" containsNumber="1" minValue="0" maxValue="0.15" count="4">
        <n v="0"/>
        <n v="0.05"/>
        <n v="0.1"/>
        <n v="0.15"/>
      </sharedItems>
    </cacheField>
    <cacheField name="Unit Cost" numFmtId="0">
      <sharedItems containsSemiMixedTypes="0" containsString="0" containsNumber="1" containsInteger="1" minValue="160" maxValue="42000" count="12">
        <n v="160"/>
        <n v="250"/>
        <n v="380"/>
        <n v="2000"/>
        <n v="4200"/>
        <n v="6000"/>
        <n v="8000"/>
        <n v="9000"/>
        <n v="9500"/>
        <n v="12500"/>
        <n v="18000"/>
        <n v="42000"/>
      </sharedItems>
    </cacheField>
    <cacheField name="Revenue" numFmtId="0">
      <sharedItems containsSemiMixedTypes="0" containsString="0" containsNumber="1" minValue="1420" maxValue="115260" count="814">
        <n v="1420"/>
        <n v="1440"/>
        <n v="1450"/>
        <n v="1500"/>
        <n v="1827"/>
        <n v="1844.5"/>
        <n v="1861.5"/>
        <n v="1971"/>
        <n v="1997.5"/>
        <n v="2023.5"/>
        <n v="2080.5"/>
        <n v="2100"/>
        <n v="2160"/>
        <n v="2232"/>
        <n v="2280"/>
        <n v="2300"/>
        <n v="2480"/>
        <n v="2482"/>
        <n v="2520"/>
        <n v="2580"/>
        <n v="2610"/>
        <n v="2650.5"/>
        <n v="2680"/>
        <n v="2760"/>
        <n v="2774"/>
        <n v="2790"/>
        <n v="2840"/>
        <n v="2859.5"/>
        <n v="3078"/>
        <n v="3102.5"/>
        <n v="3190"/>
        <n v="3192"/>
        <n v="3249"/>
        <n v="3277.5"/>
        <n v="3334.5"/>
        <n v="3350"/>
        <n v="3380"/>
        <n v="3400"/>
        <n v="3420"/>
        <n v="3429.5"/>
        <n v="3450"/>
        <n v="3458"/>
        <n v="3470"/>
        <n v="3480"/>
        <n v="3483"/>
        <n v="3530"/>
        <n v="3590"/>
        <n v="3600"/>
        <n v="3650"/>
        <n v="3726"/>
        <n v="3762"/>
        <n v="3915"/>
        <n v="4140"/>
        <n v="4176"/>
        <n v="4260"/>
        <n v="4340"/>
        <n v="4600"/>
        <n v="4650"/>
        <n v="4653"/>
        <n v="4698"/>
        <n v="4824"/>
        <n v="4828"/>
        <n v="4840"/>
        <n v="4930"/>
        <n v="4959"/>
        <n v="4960"/>
        <n v="5040"/>
        <n v="5130"/>
        <n v="5234.5"/>
        <n v="5244"/>
        <n v="5261.5"/>
        <n v="5301"/>
        <n v="5346.5"/>
        <n v="5400"/>
        <n v="5434"/>
        <n v="5474"/>
        <n v="5510"/>
        <n v="5520"/>
        <n v="5548"/>
        <n v="5590"/>
        <n v="5607"/>
        <n v="5670"/>
        <n v="5686.5"/>
        <n v="5700"/>
        <n v="5729"/>
        <n v="5780"/>
        <n v="5814"/>
        <n v="5899.5"/>
        <n v="5933"/>
        <n v="5967"/>
        <n v="5985"/>
        <n v="5994"/>
        <n v="6000"/>
        <n v="6001"/>
        <n v="6030"/>
        <n v="6070.5"/>
        <n v="6103"/>
        <n v="6137"/>
        <n v="6146.5"/>
        <n v="6251"/>
        <n v="6256"/>
        <n v="6279.5"/>
        <n v="6300"/>
        <n v="6336.5"/>
        <n v="6358"/>
        <n v="6392"/>
        <n v="6403"/>
        <n v="6417"/>
        <n v="6450"/>
        <n v="6580"/>
        <n v="6600"/>
        <n v="6610"/>
        <n v="6624"/>
        <n v="6638.5"/>
        <n v="6640"/>
        <n v="6690"/>
        <n v="6700"/>
        <n v="6720"/>
        <n v="6750"/>
        <n v="6900"/>
        <n v="7000"/>
        <n v="7020"/>
        <n v="7029"/>
        <n v="7068"/>
        <n v="7100"/>
        <n v="7210.5"/>
        <n v="7280"/>
        <n v="7284.5"/>
        <n v="7300"/>
        <n v="7315"/>
        <n v="7369.5"/>
        <n v="7480"/>
        <n v="7524"/>
        <n v="7695"/>
        <n v="7761.5"/>
        <n v="7800"/>
        <n v="7839"/>
        <n v="7866"/>
        <n v="7947"/>
        <n v="7956"/>
        <n v="8127"/>
        <n v="8151"/>
        <n v="8208"/>
        <n v="8280"/>
        <n v="8322"/>
        <n v="8398"/>
        <n v="8410"/>
        <n v="8514"/>
        <n v="8550"/>
        <n v="8569"/>
        <n v="8578.5"/>
        <n v="8670"/>
        <n v="8740"/>
        <n v="8768.5"/>
        <n v="8800"/>
        <n v="8883"/>
        <n v="8970"/>
        <n v="9000"/>
        <n v="9030"/>
        <n v="9044"/>
        <n v="9072"/>
        <n v="9153"/>
        <n v="9231"/>
        <n v="9256.5"/>
        <n v="9280"/>
        <n v="9288"/>
        <n v="9290"/>
        <n v="9307.5"/>
        <n v="9360"/>
        <n v="9380"/>
        <n v="9440"/>
        <n v="9443"/>
        <n v="9570"/>
        <n v="9610"/>
        <n v="9621"/>
        <n v="9660"/>
        <n v="9666"/>
        <n v="9680"/>
        <n v="9738"/>
        <n v="9747"/>
        <n v="9749.5"/>
        <n v="9823"/>
        <n v="9861"/>
        <n v="9909"/>
        <n v="9920"/>
        <n v="9928"/>
        <n v="9937"/>
        <n v="10032"/>
        <n v="10060.5"/>
        <n v="10080"/>
        <n v="10117.5"/>
        <n v="10174.5"/>
        <n v="10179"/>
        <n v="10203"/>
        <n v="10230"/>
        <n v="10260"/>
        <n v="10290"/>
        <n v="10323"/>
        <n v="10350"/>
        <n v="10380"/>
        <n v="10402.5"/>
        <n v="10469"/>
        <n v="10500"/>
        <n v="10540"/>
        <n v="10550"/>
        <n v="10580"/>
        <n v="10590"/>
        <n v="10640"/>
        <n v="10650"/>
        <n v="10668.5"/>
        <n v="10670"/>
        <n v="10744.5"/>
        <n v="10764"/>
        <n v="10795"/>
        <n v="10800"/>
        <n v="10850"/>
        <n v="10860"/>
        <n v="10863"/>
        <n v="10870"/>
        <n v="10880"/>
        <n v="10915.5"/>
        <n v="10925"/>
        <n v="10950"/>
        <n v="10982"/>
        <n v="11016"/>
        <n v="11020"/>
        <n v="11029.5"/>
        <n v="11092.5"/>
        <n v="11115"/>
        <n v="11160"/>
        <n v="11169"/>
        <n v="11220"/>
        <n v="11250"/>
        <n v="11295.5"/>
        <n v="11330.5"/>
        <n v="11360"/>
        <n v="11362"/>
        <n v="11400"/>
        <n v="11420"/>
        <n v="11424"/>
        <n v="11438"/>
        <n v="11466.5"/>
        <n v="11520"/>
        <n v="11602.5"/>
        <n v="11696"/>
        <n v="11780"/>
        <n v="11815"/>
        <n v="11856"/>
        <n v="11880"/>
        <n v="11960"/>
        <n v="11970"/>
        <n v="11989"/>
        <n v="12006"/>
        <n v="12060"/>
        <n v="12074.5"/>
        <n v="12114"/>
        <n v="12150"/>
        <n v="12159"/>
        <n v="12179"/>
        <n v="12300"/>
        <n v="12312"/>
        <n v="12397.5"/>
        <n v="12420"/>
        <n v="12483"/>
        <n v="12492.5"/>
        <n v="12495"/>
        <n v="12540"/>
        <n v="12600"/>
        <n v="12654"/>
        <n v="12672"/>
        <n v="12673"/>
        <n v="12700"/>
        <n v="12711"/>
        <n v="12730"/>
        <n v="12749"/>
        <n v="12760"/>
        <n v="12768"/>
        <n v="12853.5"/>
        <n v="12870"/>
        <n v="12910.5"/>
        <n v="12939"/>
        <n v="12940"/>
        <n v="12960"/>
        <n v="12996"/>
        <n v="13062.5"/>
        <n v="13072"/>
        <n v="13175"/>
        <n v="13186"/>
        <n v="13200"/>
        <n v="13220"/>
        <n v="13271.5"/>
        <n v="13300"/>
        <n v="13376"/>
        <n v="13414"/>
        <n v="13464"/>
        <n v="13520"/>
        <n v="13540"/>
        <n v="13580"/>
        <n v="13583"/>
        <n v="13600"/>
        <n v="13640"/>
        <n v="13680"/>
        <n v="13685"/>
        <n v="13710"/>
        <n v="13720"/>
        <n v="13730"/>
        <n v="13760"/>
        <n v="13770"/>
        <n v="13775"/>
        <n v="13800"/>
        <n v="13860"/>
        <n v="13920"/>
        <n v="13936.5"/>
        <n v="13946"/>
        <n v="13950"/>
        <n v="13965"/>
        <n v="14000"/>
        <n v="14136"/>
        <n v="14140"/>
        <n v="14212"/>
        <n v="14280"/>
        <n v="14288"/>
        <n v="14421"/>
        <n v="14430.5"/>
        <n v="14510"/>
        <n v="14535"/>
        <n v="14560"/>
        <n v="14650"/>
        <n v="14660"/>
        <n v="14671"/>
        <n v="14700"/>
        <n v="14706"/>
        <n v="14725"/>
        <n v="14832.5"/>
        <n v="14850"/>
        <n v="14985.5"/>
        <n v="15050"/>
        <n v="15181"/>
        <n v="15190"/>
        <n v="15318"/>
        <n v="15435"/>
        <n v="15500"/>
        <n v="15510"/>
        <n v="15534"/>
        <n v="15580.5"/>
        <n v="15750"/>
        <n v="15895"/>
        <n v="15910"/>
        <n v="16092"/>
        <n v="16243.5"/>
        <n v="16254.5"/>
        <n v="16283"/>
        <n v="16340"/>
        <n v="16492"/>
        <n v="16700"/>
        <n v="16720"/>
        <n v="16794"/>
        <n v="16910"/>
        <n v="16920"/>
        <n v="16950"/>
        <n v="17010"/>
        <n v="17071.5"/>
        <n v="17081"/>
        <n v="17100"/>
        <n v="17110.5"/>
        <n v="17200"/>
        <n v="17242.5"/>
        <n v="17250"/>
        <n v="17280"/>
        <n v="17290"/>
        <n v="17300"/>
        <n v="17480"/>
        <n v="17499"/>
        <n v="17575"/>
        <n v="17594"/>
        <n v="17670"/>
        <n v="17697"/>
        <n v="17700"/>
        <n v="17898"/>
        <n v="17900"/>
        <n v="17926.5"/>
        <n v="17950"/>
        <n v="17952"/>
        <n v="18000"/>
        <n v="18003"/>
        <n v="18030"/>
        <n v="18090"/>
        <n v="18105"/>
        <n v="18160"/>
        <n v="18200"/>
        <n v="18207"/>
        <n v="18252"/>
        <n v="18260"/>
        <n v="18468"/>
        <n v="18540"/>
        <n v="18553.5"/>
        <n v="18615"/>
        <n v="18690"/>
        <n v="18800"/>
        <n v="18840"/>
        <n v="18870"/>
        <n v="18880"/>
        <n v="18930"/>
        <n v="18990"/>
        <n v="19009.5"/>
        <n v="19346"/>
        <n v="19551"/>
        <n v="19602"/>
        <n v="19665"/>
        <n v="19988"/>
        <n v="20070"/>
        <n v="20100"/>
        <n v="20235"/>
        <n v="20280"/>
        <n v="20400"/>
        <n v="20484"/>
        <n v="20520"/>
        <n v="20577"/>
        <n v="20731.5"/>
        <n v="20790"/>
        <n v="20900"/>
        <n v="20940"/>
        <n v="21000"/>
        <n v="21054.5"/>
        <n v="21097"/>
        <n v="21100"/>
        <n v="21160"/>
        <n v="21240"/>
        <n v="21280"/>
        <n v="21360"/>
        <n v="21500"/>
        <n v="21688.5"/>
        <n v="21774"/>
        <n v="21812"/>
        <n v="21850"/>
        <n v="21862"/>
        <n v="21900"/>
        <n v="21983"/>
        <n v="22020"/>
        <n v="22060"/>
        <n v="22277.5"/>
        <n v="22360"/>
        <n v="22374"/>
        <n v="22437"/>
        <n v="22458"/>
        <n v="22500"/>
        <n v="22518"/>
        <n v="22678"/>
        <n v="22840"/>
        <n v="22950"/>
        <n v="22968"/>
        <n v="23040"/>
        <n v="23090"/>
        <n v="23132.5"/>
        <n v="23154"/>
        <n v="23184"/>
        <n v="23222"/>
        <n v="23230"/>
        <n v="23370"/>
        <n v="23680"/>
        <n v="23826"/>
        <n v="23840"/>
        <n v="23850"/>
        <n v="23922"/>
        <n v="23930.5"/>
        <n v="24030"/>
        <n v="24150"/>
        <n v="24264"/>
        <n v="24318"/>
        <n v="24372"/>
        <n v="24408"/>
        <n v="24420"/>
        <n v="24444"/>
        <n v="24460"/>
        <n v="24470"/>
        <n v="24516"/>
        <n v="24590"/>
        <n v="24738"/>
        <n v="24780"/>
        <n v="24840"/>
        <n v="24880"/>
        <n v="24910"/>
        <n v="25080"/>
        <n v="25118"/>
        <n v="25180"/>
        <n v="25272"/>
        <n v="25308"/>
        <n v="25360"/>
        <n v="25416"/>
        <n v="25555"/>
        <n v="25560"/>
        <n v="25650"/>
        <n v="25740"/>
        <n v="25745"/>
        <n v="25770"/>
        <n v="25783"/>
        <n v="25800"/>
        <n v="25802"/>
        <n v="25880"/>
        <n v="26070"/>
        <n v="26280"/>
        <n v="26540"/>
        <n v="26640"/>
        <n v="26680"/>
        <n v="26780"/>
        <n v="26790"/>
        <n v="26828"/>
        <n v="26920"/>
        <n v="27160"/>
        <n v="27180"/>
        <n v="27300"/>
        <n v="27474"/>
        <n v="27560"/>
        <n v="27600"/>
        <n v="27620"/>
        <n v="27690"/>
        <n v="27810"/>
        <n v="27820"/>
        <n v="27900"/>
        <n v="28060"/>
        <n v="28320"/>
        <n v="28420"/>
        <n v="28520"/>
        <n v="28560"/>
        <n v="28580"/>
        <n v="28940"/>
        <n v="29248.5"/>
        <n v="29320"/>
        <n v="29444"/>
        <n v="29953.5"/>
        <n v="30096"/>
        <n v="30348"/>
        <n v="30381"/>
        <n v="30552"/>
        <n v="30865.5"/>
        <n v="30894"/>
        <n v="31008"/>
        <n v="31440"/>
        <n v="31500"/>
        <n v="31578"/>
        <n v="31586"/>
        <n v="31590"/>
        <n v="31777.5"/>
        <n v="31891.5"/>
        <n v="31920"/>
        <n v="32460"/>
        <n v="32566"/>
        <n v="32575.5"/>
        <n v="32632.5"/>
        <n v="32793"/>
        <n v="32803.5"/>
        <n v="32870"/>
        <n v="32970"/>
        <n v="33156"/>
        <n v="33364"/>
        <n v="33408"/>
        <n v="33588"/>
        <n v="33720"/>
        <n v="33732"/>
        <n v="33744"/>
        <n v="33820"/>
        <n v="33934"/>
        <n v="33940.5"/>
        <n v="34260"/>
        <n v="34390"/>
        <n v="34504"/>
        <n v="34580"/>
        <n v="34800"/>
        <n v="35100"/>
        <n v="35112"/>
        <n v="35220"/>
        <n v="35397"/>
        <n v="35492"/>
        <n v="35600"/>
        <n v="35649"/>
        <n v="35680"/>
        <n v="35720"/>
        <n v="35776.5"/>
        <n v="35780"/>
        <n v="35920"/>
        <n v="35960"/>
        <n v="36040"/>
        <n v="36080"/>
        <n v="36440"/>
        <n v="36600"/>
        <n v="36639"/>
        <n v="36880"/>
        <n v="37100"/>
        <n v="37125"/>
        <n v="37135.5"/>
        <n v="37206"/>
        <n v="37220"/>
        <n v="37280"/>
        <n v="37540"/>
        <n v="37655"/>
        <n v="37677"/>
        <n v="37990.5"/>
        <n v="38304"/>
        <n v="38446.5"/>
        <n v="38550"/>
        <n v="38590"/>
        <n v="38646"/>
        <n v="38835"/>
        <n v="39049"/>
        <n v="39096"/>
        <n v="39100"/>
        <n v="39360"/>
        <n v="39390"/>
        <n v="39643.5"/>
        <n v="39695"/>
        <n v="39870"/>
        <n v="39900"/>
        <n v="40080"/>
        <n v="40140"/>
        <n v="40156.5"/>
        <n v="40555.5"/>
        <n v="40890"/>
        <n v="40980"/>
        <n v="41040"/>
        <n v="41460"/>
        <n v="41580"/>
        <n v="41610"/>
        <n v="41616"/>
        <n v="41730"/>
        <n v="41886"/>
        <n v="41888"/>
        <n v="42000"/>
        <n v="42037.5"/>
        <n v="42120"/>
        <n v="42240"/>
        <n v="42300"/>
        <n v="42390"/>
        <n v="42670"/>
        <n v="42990"/>
        <n v="43000"/>
        <n v="43140"/>
        <n v="43300"/>
        <n v="43320"/>
        <n v="43470"/>
        <n v="43624"/>
        <n v="43632"/>
        <n v="43662"/>
        <n v="43680"/>
        <n v="43740"/>
        <n v="43809"/>
        <n v="44270"/>
        <n v="44365"/>
        <n v="44412.5"/>
        <n v="44450"/>
        <n v="44460"/>
        <n v="44565.5"/>
        <n v="44574"/>
        <n v="44745"/>
        <n v="44950"/>
        <n v="45100"/>
        <n v="45270"/>
        <n v="45492"/>
        <n v="45764"/>
        <n v="45790"/>
        <n v="45847"/>
        <n v="45999"/>
        <n v="46094"/>
        <n v="46189"/>
        <n v="46274"/>
        <n v="46308"/>
        <n v="46588"/>
        <n v="46602"/>
        <n v="46680"/>
        <n v="46682"/>
        <n v="46683"/>
        <n v="46700"/>
        <n v="46707.5"/>
        <n v="47322"/>
        <n v="47880"/>
        <n v="48040"/>
        <n v="48042"/>
        <n v="48700"/>
        <n v="48834"/>
        <n v="48841"/>
        <n v="49048.5"/>
        <n v="49221"/>
        <n v="49280"/>
        <n v="49329"/>
        <n v="49500"/>
        <n v="49662"/>
        <n v="49842"/>
        <n v="49923"/>
        <n v="49986"/>
        <n v="50122"/>
        <n v="50901"/>
        <n v="51043.5"/>
        <n v="51091"/>
        <n v="51328.5"/>
        <n v="51461.5"/>
        <n v="51525"/>
        <n v="51566"/>
        <n v="51575.5"/>
        <n v="51756"/>
        <n v="51775"/>
        <n v="51780"/>
        <n v="51955.5"/>
        <n v="51965"/>
        <n v="52297.5"/>
        <n v="52380"/>
        <n v="52440"/>
        <n v="52590"/>
        <n v="52610"/>
        <n v="52877"/>
        <n v="52970"/>
        <n v="53095.5"/>
        <n v="53133.5"/>
        <n v="53219"/>
        <n v="53340"/>
        <n v="53590"/>
        <n v="53710"/>
        <n v="53827"/>
        <n v="53874.5"/>
        <n v="54140.5"/>
        <n v="54359"/>
        <n v="54390"/>
        <n v="54450"/>
        <n v="54550"/>
        <n v="54740"/>
        <n v="54800"/>
        <n v="54810"/>
        <n v="54834"/>
        <n v="54840"/>
        <n v="54843.5"/>
        <n v="55030"/>
        <n v="55630"/>
        <n v="55820"/>
        <n v="56070"/>
        <n v="56100"/>
        <n v="56690"/>
        <n v="56790"/>
        <n v="57120"/>
        <n v="57160"/>
        <n v="59517"/>
        <n v="60180"/>
        <n v="61506"/>
        <n v="62500.5"/>
        <n v="63061.5"/>
        <n v="63450"/>
        <n v="64395"/>
        <n v="65259"/>
        <n v="65988"/>
        <n v="66096"/>
        <n v="66177"/>
        <n v="66319.5"/>
        <n v="66348"/>
        <n v="66366"/>
        <n v="66604.5"/>
        <n v="67176"/>
        <n v="67288.5"/>
        <n v="68143.5"/>
        <n v="68172"/>
        <n v="68286"/>
        <n v="68760"/>
        <n v="69300"/>
        <n v="69882"/>
        <n v="69930"/>
        <n v="70110"/>
        <n v="70470"/>
        <n v="70650"/>
        <n v="70830"/>
        <n v="71010"/>
        <n v="71079"/>
        <n v="71280"/>
        <n v="72450"/>
        <n v="73020"/>
        <n v="73350"/>
        <n v="73530"/>
        <n v="73740"/>
        <n v="74280"/>
        <n v="75240"/>
        <n v="89216"/>
        <n v="89454"/>
        <n v="90287"/>
        <n v="93143"/>
        <n v="95319"/>
        <n v="96264"/>
        <n v="97488"/>
        <n v="98226"/>
        <n v="100472"/>
        <n v="100833"/>
        <n v="101137"/>
        <n v="101403"/>
        <n v="101422"/>
        <n v="101650"/>
        <n v="102078"/>
        <n v="102222"/>
        <n v="102330"/>
        <n v="103645"/>
        <n v="104740"/>
        <n v="105070"/>
        <n v="105564"/>
        <n v="105720"/>
        <n v="105982"/>
        <n v="106058"/>
        <n v="106580"/>
        <n v="107179"/>
        <n v="107820"/>
        <n v="108927"/>
        <n v="109240"/>
        <n v="109600"/>
        <n v="110040"/>
        <n v="111280"/>
        <n v="111320"/>
        <n v="111720"/>
        <n v="112000"/>
        <n v="113500"/>
        <n v="113900"/>
        <n v="114920"/>
        <n v="115260"/>
      </sharedItems>
    </cacheField>
    <cacheField name="Cost" numFmtId="0">
      <sharedItems containsSemiMixedTypes="0" containsString="0" containsNumber="1" containsInteger="1" minValue="760" maxValue="84000" count="104">
        <n v="760"/>
        <n v="800"/>
        <n v="1120"/>
        <n v="1140"/>
        <n v="1250"/>
        <n v="1280"/>
        <n v="1440"/>
        <n v="1500"/>
        <n v="1520"/>
        <n v="1750"/>
        <n v="1760"/>
        <n v="1900"/>
        <n v="1920"/>
        <n v="2000"/>
        <n v="2240"/>
        <n v="2250"/>
        <n v="2280"/>
        <n v="2400"/>
        <n v="2500"/>
        <n v="2560"/>
        <n v="2720"/>
        <n v="2750"/>
        <n v="2880"/>
        <n v="3000"/>
        <n v="3040"/>
        <n v="3200"/>
        <n v="3250"/>
        <n v="3360"/>
        <n v="3420"/>
        <n v="3500"/>
        <n v="3680"/>
        <n v="3750"/>
        <n v="3800"/>
        <n v="3840"/>
        <n v="4000"/>
        <n v="4160"/>
        <n v="4180"/>
        <n v="4200"/>
        <n v="4250"/>
        <n v="4500"/>
        <n v="4560"/>
        <n v="4640"/>
        <n v="4750"/>
        <n v="4940"/>
        <n v="4960"/>
        <n v="5000"/>
        <n v="5120"/>
        <n v="5250"/>
        <n v="5280"/>
        <n v="5320"/>
        <n v="5440"/>
        <n v="5500"/>
        <n v="5600"/>
        <n v="5700"/>
        <n v="5750"/>
        <n v="5920"/>
        <n v="6000"/>
        <n v="6080"/>
        <n v="6240"/>
        <n v="6250"/>
        <n v="6400"/>
        <n v="6460"/>
        <n v="6500"/>
        <n v="6560"/>
        <n v="6720"/>
        <n v="6750"/>
        <n v="6840"/>
        <n v="7000"/>
        <n v="7040"/>
        <n v="7200"/>
        <n v="7220"/>
        <n v="7250"/>
        <n v="7360"/>
        <n v="7500"/>
        <n v="7600"/>
        <n v="7680"/>
        <n v="7840"/>
        <n v="8000"/>
        <n v="8250"/>
        <n v="8400"/>
        <n v="8500"/>
        <n v="8750"/>
        <n v="9000"/>
        <n v="9250"/>
        <n v="9500"/>
        <n v="9750"/>
        <n v="10000"/>
        <n v="12000"/>
        <n v="12500"/>
        <n v="12600"/>
        <n v="16000"/>
        <n v="16800"/>
        <n v="18000"/>
        <n v="19000"/>
        <n v="24000"/>
        <n v="25000"/>
        <n v="27000"/>
        <n v="28500"/>
        <n v="30000"/>
        <n v="36000"/>
        <n v="37500"/>
        <n v="42000"/>
        <n v="54000"/>
        <n v="84000"/>
      </sharedItems>
    </cacheField>
    <cacheField name="Profit" numFmtId="0">
      <sharedItems containsSemiMixedTypes="0" containsString="0" containsNumber="1" minValue="650" maxValue="31260" count="781">
        <n v="650"/>
        <n v="660"/>
        <n v="680"/>
        <n v="700"/>
        <n v="707"/>
        <n v="721.5"/>
        <n v="724.5"/>
        <n v="747.5"/>
        <n v="831"/>
        <n v="880"/>
        <n v="883.5"/>
        <n v="940.5"/>
        <n v="952"/>
        <n v="960"/>
        <n v="962"/>
        <n v="1000"/>
        <n v="1050"/>
        <n v="1061.5"/>
        <n v="1078"/>
        <n v="1080"/>
        <n v="1109.5"/>
        <n v="1146.5"/>
        <n v="1160"/>
        <n v="1170"/>
        <n v="1192"/>
        <n v="1200"/>
        <n v="1202.5"/>
        <n v="1210.5"/>
        <n v="1233"/>
        <n v="1249"/>
        <n v="1254"/>
        <n v="1256.5"/>
        <n v="1260"/>
        <n v="1284.5"/>
        <n v="1320"/>
        <n v="1334.5"/>
        <n v="1350"/>
        <n v="1369.5"/>
        <n v="1377.5"/>
        <n v="1380"/>
        <n v="1400"/>
        <n v="1407"/>
        <n v="1420"/>
        <n v="1429.5"/>
        <n v="1430"/>
        <n v="1450"/>
        <n v="1458"/>
        <n v="1470"/>
        <n v="1476"/>
        <n v="1486.5"/>
        <n v="1512"/>
        <n v="1515"/>
        <n v="1530"/>
        <n v="1560"/>
        <n v="1590"/>
        <n v="1600"/>
        <n v="1616"/>
        <n v="1621"/>
        <n v="1640"/>
        <n v="1666"/>
        <n v="1680"/>
        <n v="1699.5"/>
        <n v="1729"/>
        <n v="1738"/>
        <n v="1750"/>
        <n v="1780"/>
        <n v="1784"/>
        <n v="1788"/>
        <n v="1818"/>
        <n v="1839"/>
        <n v="1860"/>
        <n v="1890"/>
        <n v="1903"/>
        <n v="1909"/>
        <n v="1919"/>
        <n v="1933"/>
        <n v="1937"/>
        <n v="1946.5"/>
        <n v="1947"/>
        <n v="1952"/>
        <n v="1967"/>
        <n v="1974"/>
        <n v="1980"/>
        <n v="1994"/>
        <n v="2000"/>
        <n v="2001"/>
        <n v="2051"/>
        <n v="2079.5"/>
        <n v="2080"/>
        <n v="2090"/>
        <n v="2100"/>
        <n v="2102.5"/>
        <n v="2103"/>
        <n v="2105"/>
        <n v="2108"/>
        <n v="2130"/>
        <n v="2151"/>
        <n v="2170"/>
        <n v="2171"/>
        <n v="2174.5"/>
        <n v="2184"/>
        <n v="2194.5"/>
        <n v="2200"/>
        <n v="2203"/>
        <n v="2204"/>
        <n v="2210"/>
        <n v="2250"/>
        <n v="2256"/>
        <n v="2261"/>
        <n v="2310"/>
        <n v="2315"/>
        <n v="2330.5"/>
        <n v="2340"/>
        <n v="2392"/>
        <n v="2394"/>
        <n v="2395"/>
        <n v="2400"/>
        <n v="2403"/>
        <n v="2410"/>
        <n v="2440"/>
        <n v="2458.5"/>
        <n v="2479.5"/>
        <n v="2485.5"/>
        <n v="2490"/>
        <n v="2500"/>
        <n v="2508"/>
        <n v="2520"/>
        <n v="2550"/>
        <n v="2565.5"/>
        <n v="2569"/>
        <n v="2610"/>
        <n v="2614"/>
        <n v="2615"/>
        <n v="2624"/>
        <n v="2625"/>
        <n v="2640"/>
        <n v="2650.5"/>
        <n v="2656.5"/>
        <n v="2659"/>
        <n v="2668.5"/>
        <n v="2670"/>
        <n v="2700"/>
        <n v="2731.5"/>
        <n v="2737"/>
        <n v="2744.5"/>
        <n v="2760"/>
        <n v="2800"/>
        <n v="2849"/>
        <n v="2850"/>
        <n v="2860"/>
        <n v="2870"/>
        <n v="2877"/>
        <n v="2900"/>
        <n v="2915.5"/>
        <n v="2940"/>
        <n v="3000"/>
        <n v="3011.5"/>
        <n v="3014"/>
        <n v="3016"/>
        <n v="3020"/>
        <n v="3024"/>
        <n v="3030.5"/>
        <n v="3049"/>
        <n v="3054.5"/>
        <n v="3080"/>
        <n v="3097"/>
        <n v="3100"/>
        <n v="3135"/>
        <n v="3153"/>
        <n v="3181"/>
        <n v="3195"/>
        <n v="3200"/>
        <n v="3220"/>
        <n v="3228"/>
        <n v="3230"/>
        <n v="3231"/>
        <n v="3249"/>
        <n v="3280"/>
        <n v="3288"/>
        <n v="3290"/>
        <n v="3300"/>
        <n v="3306"/>
        <n v="3328.5"/>
        <n v="3346"/>
        <n v="3353.5"/>
        <n v="3360"/>
        <n v="3395"/>
        <n v="3410.5"/>
        <n v="3420"/>
        <n v="3424"/>
        <n v="3440"/>
        <n v="3456"/>
        <n v="3458"/>
        <n v="3492.5"/>
        <n v="3500"/>
        <n v="3534"/>
        <n v="3572"/>
        <n v="3589"/>
        <n v="3600"/>
        <n v="3607.5"/>
        <n v="3633"/>
        <n v="3640"/>
        <n v="3643.5"/>
        <n v="3648"/>
        <n v="3686"/>
        <n v="3688.5"/>
        <n v="3695"/>
        <n v="3696"/>
        <n v="3724"/>
        <n v="3747"/>
        <n v="3752"/>
        <n v="3754.5"/>
        <n v="3762"/>
        <n v="3764"/>
        <n v="3770"/>
        <n v="3771.5"/>
        <n v="3779"/>
        <n v="3780"/>
        <n v="3783"/>
        <n v="3800"/>
        <n v="3828.5"/>
        <n v="3829.5"/>
        <n v="3848"/>
        <n v="3861"/>
        <n v="3870"/>
        <n v="3892.5"/>
        <n v="3939"/>
        <n v="3983"/>
        <n v="3988"/>
        <n v="3990"/>
        <n v="3996"/>
        <n v="4000"/>
        <n v="4020"/>
        <n v="4030"/>
        <n v="4032"/>
        <n v="4060"/>
        <n v="4060.5"/>
        <n v="4062.5"/>
        <n v="4070"/>
        <n v="4092"/>
        <n v="4123"/>
        <n v="4154"/>
        <n v="4160"/>
        <n v="4180"/>
        <n v="4210"/>
        <n v="4222"/>
        <n v="4230"/>
        <n v="4246.5"/>
        <n v="4260"/>
        <n v="4264"/>
        <n v="4274"/>
        <n v="4277.5"/>
        <n v="4279.5"/>
        <n v="4290"/>
        <n v="4300"/>
        <n v="4311"/>
        <n v="4323"/>
        <n v="4340"/>
        <n v="4350"/>
        <n v="4368"/>
        <n v="4374"/>
        <n v="4380"/>
        <n v="4389"/>
        <n v="4403"/>
        <n v="4410"/>
        <n v="4417.5"/>
        <n v="4436.5"/>
        <n v="4437"/>
        <n v="4438"/>
        <n v="4458"/>
        <n v="4465"/>
        <n v="4484"/>
        <n v="4492"/>
        <n v="4510"/>
        <n v="4510.5"/>
        <n v="4518"/>
        <n v="4522"/>
        <n v="4539"/>
        <n v="4540"/>
        <n v="4556"/>
        <n v="4560"/>
        <n v="4571.5"/>
        <n v="4580"/>
        <n v="4581"/>
        <n v="4590"/>
        <n v="4600"/>
        <n v="4615"/>
        <n v="4646"/>
        <n v="4650"/>
        <n v="4654"/>
        <n v="4655"/>
        <n v="4672"/>
        <n v="4675"/>
        <n v="4678"/>
        <n v="4680"/>
        <n v="4682"/>
        <n v="4702.5"/>
        <n v="4707.5"/>
        <n v="4709"/>
        <n v="4712"/>
        <n v="4720"/>
        <n v="4735.5"/>
        <n v="4742.5"/>
        <n v="4770"/>
        <n v="4780"/>
        <n v="4790"/>
        <n v="4794"/>
        <n v="4800"/>
        <n v="4820"/>
        <n v="4830"/>
        <n v="4832.5"/>
        <n v="4862"/>
        <n v="4900"/>
        <n v="4935"/>
        <n v="4940"/>
        <n v="4950"/>
        <n v="4960"/>
        <n v="4964"/>
        <n v="4980"/>
        <n v="4999"/>
        <n v="5000"/>
        <n v="5006.5"/>
        <n v="5010"/>
        <n v="5060"/>
        <n v="5062"/>
        <n v="5070"/>
        <n v="5075"/>
        <n v="5083"/>
        <n v="5090"/>
        <n v="5100"/>
        <n v="5110"/>
        <n v="5130"/>
        <n v="5132.5"/>
        <n v="5140"/>
        <n v="5150"/>
        <n v="5160"/>
        <n v="5175"/>
        <n v="5197.5"/>
        <n v="5216"/>
        <n v="5220"/>
        <n v="5230"/>
        <n v="5240"/>
        <n v="5248.5"/>
        <n v="5250"/>
        <n v="5280"/>
        <n v="5313"/>
        <n v="5318"/>
        <n v="5320"/>
        <n v="5322"/>
        <n v="5326.5"/>
        <n v="5360"/>
        <n v="5370"/>
        <n v="5372"/>
        <n v="5376"/>
        <n v="5380"/>
        <n v="5398"/>
        <n v="5400"/>
        <n v="5414"/>
        <n v="5423"/>
        <n v="5435"/>
        <n v="5440"/>
        <n v="5440.5"/>
        <n v="5444"/>
        <n v="5454"/>
        <n v="5460"/>
        <n v="5472"/>
        <n v="5500"/>
        <n v="5510"/>
        <n v="5514.5"/>
        <n v="5517"/>
        <n v="5530"/>
        <n v="5580"/>
        <n v="5590"/>
        <n v="5594"/>
        <n v="5616"/>
        <n v="5640"/>
        <n v="5643"/>
        <n v="5660"/>
        <n v="5680"/>
        <n v="5697"/>
        <n v="5700"/>
        <n v="5706"/>
        <n v="5740"/>
        <n v="5760"/>
        <n v="5774"/>
        <n v="5775"/>
        <n v="5793"/>
        <n v="5812"/>
        <n v="5826"/>
        <n v="5830.5"/>
        <n v="5840"/>
        <n v="5850"/>
        <n v="5868"/>
        <n v="5886"/>
        <n v="5888"/>
        <n v="5900"/>
        <n v="5920"/>
        <n v="5922"/>
        <n v="5930.5"/>
        <n v="5940"/>
        <n v="5946"/>
        <n v="5953.5"/>
        <n v="6003"/>
        <n v="6030"/>
        <n v="6035"/>
        <n v="6042"/>
        <n v="6060"/>
        <n v="6068"/>
        <n v="6080"/>
        <n v="6090"/>
        <n v="6096"/>
        <n v="6120"/>
        <n v="6150"/>
        <n v="6160"/>
        <n v="6168"/>
        <n v="6171"/>
        <n v="6180"/>
        <n v="6200"/>
        <n v="6207"/>
        <n v="6240"/>
        <n v="6252"/>
        <n v="6270"/>
        <n v="6287"/>
        <n v="6288"/>
        <n v="6300"/>
        <n v="6309"/>
        <n v="6330"/>
        <n v="6348"/>
        <n v="6360"/>
        <n v="6381"/>
        <n v="6384"/>
        <n v="6390"/>
        <n v="6400"/>
        <n v="6409.5"/>
        <n v="6420"/>
        <n v="6440"/>
        <n v="6456"/>
        <n v="6460"/>
        <n v="6470"/>
        <n v="6500"/>
        <n v="6552"/>
        <n v="6590"/>
        <n v="6590.5"/>
        <n v="6600"/>
        <n v="6660"/>
        <n v="6670"/>
        <n v="6700"/>
        <n v="6720"/>
        <n v="6725"/>
        <n v="6750"/>
        <n v="6780"/>
        <n v="6783"/>
        <n v="6834"/>
        <n v="6840"/>
        <n v="6841"/>
        <n v="6860"/>
        <n v="6865.5"/>
        <n v="6880"/>
        <n v="6894"/>
        <n v="6910"/>
        <n v="6950"/>
        <n v="7000"/>
        <n v="7008"/>
        <n v="7040"/>
        <n v="7080"/>
        <n v="7100"/>
        <n v="7118"/>
        <n v="7180"/>
        <n v="7200"/>
        <n v="7220"/>
        <n v="7221"/>
        <n v="7250"/>
        <n v="7260"/>
        <n v="7272"/>
        <n v="7276.5"/>
        <n v="7290"/>
        <n v="7300"/>
        <n v="7308"/>
        <n v="7350"/>
        <n v="7416"/>
        <n v="7440"/>
        <n v="7464"/>
        <n v="7470"/>
        <n v="7500"/>
        <n v="7506"/>
        <n v="7551"/>
        <n v="7555"/>
        <n v="7566"/>
        <n v="7578"/>
        <n v="7586"/>
        <n v="7590"/>
        <n v="7602"/>
        <n v="7608"/>
        <n v="7624"/>
        <n v="7632"/>
        <n v="7644"/>
        <n v="7650"/>
        <n v="7655"/>
        <n v="7662"/>
        <n v="7665"/>
        <n v="7680"/>
        <n v="7700"/>
        <n v="7716"/>
        <n v="7740"/>
        <n v="7745"/>
        <n v="7770"/>
        <n v="7777.5"/>
        <n v="7780"/>
        <n v="7800"/>
        <n v="7828"/>
        <n v="7870"/>
        <n v="7891.5"/>
        <n v="7920"/>
        <n v="7923"/>
        <n v="7938"/>
        <n v="7950"/>
        <n v="7986"/>
        <n v="7992"/>
        <n v="8000"/>
        <n v="8040"/>
        <n v="8070"/>
        <n v="8080"/>
        <n v="8100"/>
        <n v="8122"/>
        <n v="8235"/>
        <n v="8280"/>
        <n v="8364"/>
        <n v="8460"/>
        <n v="8474"/>
        <n v="8500.5"/>
        <n v="8520"/>
        <n v="8540"/>
        <n v="8560"/>
        <n v="8574"/>
        <n v="8575.5"/>
        <n v="8577"/>
        <n v="8590"/>
        <n v="8625"/>
        <n v="8632.5"/>
        <n v="8649"/>
        <n v="8744"/>
        <n v="8745"/>
        <n v="8760"/>
        <n v="8790"/>
        <n v="8803.5"/>
        <n v="8808"/>
        <n v="8835"/>
        <n v="8870"/>
        <n v="8970"/>
        <n v="9000"/>
        <n v="9002"/>
        <n v="9061.5"/>
        <n v="9080"/>
        <n v="9091"/>
        <n v="9102"/>
        <n v="9143"/>
        <n v="9156"/>
        <n v="9180"/>
        <n v="9260"/>
        <n v="9270"/>
        <n v="9300"/>
        <n v="9328.5"/>
        <n v="9360"/>
        <n v="9364"/>
        <n v="9408"/>
        <n v="9420"/>
        <n v="9450"/>
        <n v="9461.5"/>
        <n v="9520"/>
        <n v="9525"/>
        <n v="9566"/>
        <n v="9575.5"/>
        <n v="9580"/>
        <n v="9588"/>
        <n v="9600"/>
        <n v="9620"/>
        <n v="9639"/>
        <n v="9690"/>
        <n v="9720"/>
        <n v="9732"/>
        <n v="9744"/>
        <n v="9756"/>
        <n v="9775"/>
        <n v="9790"/>
        <n v="9800"/>
        <n v="9804"/>
        <n v="9810"/>
        <n v="9820"/>
        <n v="9840"/>
        <n v="9847"/>
        <n v="9870"/>
        <n v="9880"/>
        <n v="9900"/>
        <n v="9934"/>
        <n v="9940"/>
        <n v="9946.5"/>
        <n v="9955.5"/>
        <n v="9965"/>
        <n v="9999"/>
        <n v="10020"/>
        <n v="10060"/>
        <n v="10094"/>
        <n v="10100"/>
        <n v="10120"/>
        <n v="10135.5"/>
        <n v="10140"/>
        <n v="10189"/>
        <n v="10206"/>
        <n v="10220"/>
        <n v="10297.5"/>
        <n v="10320"/>
        <n v="10360"/>
        <n v="10390"/>
        <n v="10395"/>
        <n v="10397"/>
        <n v="10440"/>
        <n v="10492"/>
        <n v="10504"/>
        <n v="10588"/>
        <n v="10590"/>
        <n v="10596"/>
        <n v="10610"/>
        <n v="10677"/>
        <n v="10680"/>
        <n v="10683"/>
        <n v="10720"/>
        <n v="10780"/>
        <n v="10877"/>
        <n v="10970"/>
        <n v="10990.5"/>
        <n v="11040"/>
        <n v="11080"/>
        <n v="11112"/>
        <n v="11133.5"/>
        <n v="11143.5"/>
        <n v="11219"/>
        <n v="11259"/>
        <n v="11319"/>
        <n v="11340"/>
        <n v="11400"/>
        <n v="11440"/>
        <n v="11548.5"/>
        <n v="11550"/>
        <n v="11580"/>
        <n v="11590"/>
        <n v="11600"/>
        <n v="11646"/>
        <n v="11656.5"/>
        <n v="11680"/>
        <n v="11710"/>
        <n v="11827"/>
        <n v="11829"/>
        <n v="11874.5"/>
        <n v="11880"/>
        <n v="11920"/>
        <n v="11960"/>
        <n v="11988"/>
        <n v="12037.5"/>
        <n v="12040"/>
        <n v="12055.5"/>
        <n v="12096"/>
        <n v="12100"/>
        <n v="12140.5"/>
        <n v="12177"/>
        <n v="12220"/>
        <n v="12264"/>
        <n v="12319.5"/>
        <n v="12342"/>
        <n v="12348"/>
        <n v="12359"/>
        <n v="12360"/>
        <n v="12366"/>
        <n v="12390"/>
        <n v="12450"/>
        <n v="12480"/>
        <n v="12540"/>
        <n v="12550"/>
        <n v="12600"/>
        <n v="12604.5"/>
        <n v="12700"/>
        <n v="12740"/>
        <n v="12800"/>
        <n v="12834"/>
        <n v="12843.5"/>
        <n v="12960"/>
        <n v="13000"/>
        <n v="13030"/>
        <n v="13080"/>
        <n v="13176"/>
        <n v="13280"/>
        <n v="13288.5"/>
        <n v="13300"/>
        <n v="13320"/>
        <n v="13401"/>
        <n v="13488"/>
        <n v="13500"/>
        <n v="13543.5"/>
        <n v="13620"/>
        <n v="13630"/>
        <n v="13820"/>
        <n v="14100"/>
        <n v="14143.5"/>
        <n v="14172"/>
        <n v="14226"/>
        <n v="14270"/>
        <n v="14280"/>
        <n v="14286"/>
        <n v="14365"/>
        <n v="14412.5"/>
        <n v="14450"/>
        <n v="14490"/>
        <n v="14610"/>
        <n v="14640"/>
        <n v="14690"/>
        <n v="14730"/>
        <n v="14760"/>
        <n v="14790"/>
        <n v="14820"/>
        <n v="14880"/>
        <n v="14950"/>
        <n v="15000"/>
        <n v="15100"/>
        <n v="15120"/>
        <n v="15160"/>
        <n v="15180"/>
        <n v="15240"/>
        <n v="15300"/>
        <n v="15390"/>
        <n v="15595.5"/>
        <n v="15882"/>
        <n v="15930"/>
        <n v="16110"/>
        <n v="16470"/>
        <n v="16472"/>
        <n v="16650"/>
        <n v="16700"/>
        <n v="16830"/>
        <n v="16833"/>
        <n v="16890"/>
        <n v="17010"/>
        <n v="17079"/>
        <n v="17137"/>
        <n v="17280"/>
        <n v="17310"/>
        <n v="17340"/>
        <n v="17403"/>
        <n v="17422"/>
        <n v="17650"/>
        <n v="18078"/>
        <n v="18222"/>
        <n v="18330"/>
        <n v="18450"/>
        <n v="18570"/>
        <n v="19020"/>
        <n v="19350"/>
        <n v="19530"/>
        <n v="19645"/>
        <n v="19740"/>
        <n v="20280"/>
        <n v="20740"/>
        <n v="21070"/>
        <n v="21240"/>
        <n v="21564"/>
        <n v="21720"/>
        <n v="21982"/>
        <n v="22058"/>
        <n v="22580"/>
        <n v="23179"/>
        <n v="23820"/>
        <n v="24927"/>
        <n v="25240"/>
        <n v="25600"/>
        <n v="26040"/>
        <n v="27280"/>
        <n v="27320"/>
        <n v="27720"/>
        <n v="28000"/>
        <n v="29500"/>
        <n v="29900"/>
        <n v="30920"/>
        <n v="312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0">
  <r>
    <x v="0"/>
    <x v="0"/>
    <x v="0"/>
    <x v="0"/>
    <x v="3"/>
    <x v="3"/>
    <x v="2"/>
    <x v="2"/>
    <x v="7"/>
    <x v="10"/>
    <x v="1"/>
    <x v="2"/>
    <x v="69"/>
    <x v="24"/>
    <x v="104"/>
  </r>
  <r>
    <x v="1"/>
    <x v="1"/>
    <x v="0"/>
    <x v="0"/>
    <x v="2"/>
    <x v="3"/>
    <x v="6"/>
    <x v="0"/>
    <x v="6"/>
    <x v="3"/>
    <x v="1"/>
    <x v="1"/>
    <x v="27"/>
    <x v="9"/>
    <x v="20"/>
  </r>
  <r>
    <x v="2"/>
    <x v="2"/>
    <x v="0"/>
    <x v="0"/>
    <x v="0"/>
    <x v="2"/>
    <x v="7"/>
    <x v="8"/>
    <x v="4"/>
    <x v="91"/>
    <x v="0"/>
    <x v="5"/>
    <x v="634"/>
    <x v="98"/>
    <x v="685"/>
  </r>
  <r>
    <x v="3"/>
    <x v="3"/>
    <x v="0"/>
    <x v="0"/>
    <x v="3"/>
    <x v="2"/>
    <x v="1"/>
    <x v="3"/>
    <x v="3"/>
    <x v="86"/>
    <x v="2"/>
    <x v="4"/>
    <x v="475"/>
    <x v="91"/>
    <x v="502"/>
  </r>
  <r>
    <x v="4"/>
    <x v="4"/>
    <x v="0"/>
    <x v="0"/>
    <x v="4"/>
    <x v="3"/>
    <x v="6"/>
    <x v="6"/>
    <x v="16"/>
    <x v="4"/>
    <x v="3"/>
    <x v="1"/>
    <x v="104"/>
    <x v="38"/>
    <x v="94"/>
  </r>
  <r>
    <x v="5"/>
    <x v="5"/>
    <x v="0"/>
    <x v="0"/>
    <x v="2"/>
    <x v="3"/>
    <x v="3"/>
    <x v="0"/>
    <x v="28"/>
    <x v="0"/>
    <x v="0"/>
    <x v="0"/>
    <x v="146"/>
    <x v="41"/>
    <x v="214"/>
  </r>
  <r>
    <x v="6"/>
    <x v="6"/>
    <x v="0"/>
    <x v="0"/>
    <x v="4"/>
    <x v="3"/>
    <x v="6"/>
    <x v="7"/>
    <x v="13"/>
    <x v="5"/>
    <x v="2"/>
    <x v="1"/>
    <x v="81"/>
    <x v="29"/>
    <x v="97"/>
  </r>
  <r>
    <x v="7"/>
    <x v="7"/>
    <x v="0"/>
    <x v="0"/>
    <x v="1"/>
    <x v="1"/>
    <x v="4"/>
    <x v="9"/>
    <x v="0"/>
    <x v="431"/>
    <x v="0"/>
    <x v="11"/>
    <x v="714"/>
    <x v="101"/>
    <x v="649"/>
  </r>
  <r>
    <x v="8"/>
    <x v="7"/>
    <x v="0"/>
    <x v="0"/>
    <x v="2"/>
    <x v="1"/>
    <x v="8"/>
    <x v="0"/>
    <x v="0"/>
    <x v="327"/>
    <x v="1"/>
    <x v="10"/>
    <x v="431"/>
    <x v="92"/>
    <x v="205"/>
  </r>
  <r>
    <x v="9"/>
    <x v="8"/>
    <x v="0"/>
    <x v="0"/>
    <x v="4"/>
    <x v="2"/>
    <x v="7"/>
    <x v="6"/>
    <x v="3"/>
    <x v="94"/>
    <x v="1"/>
    <x v="5"/>
    <x v="551"/>
    <x v="94"/>
    <x v="547"/>
  </r>
  <r>
    <x v="10"/>
    <x v="9"/>
    <x v="0"/>
    <x v="0"/>
    <x v="2"/>
    <x v="0"/>
    <x v="5"/>
    <x v="0"/>
    <x v="1"/>
    <x v="182"/>
    <x v="2"/>
    <x v="6"/>
    <x v="415"/>
    <x v="90"/>
    <x v="271"/>
  </r>
  <r>
    <x v="11"/>
    <x v="10"/>
    <x v="0"/>
    <x v="0"/>
    <x v="4"/>
    <x v="2"/>
    <x v="9"/>
    <x v="6"/>
    <x v="0"/>
    <x v="312"/>
    <x v="1"/>
    <x v="9"/>
    <x v="371"/>
    <x v="88"/>
    <x v="318"/>
  </r>
  <r>
    <x v="12"/>
    <x v="11"/>
    <x v="0"/>
    <x v="0"/>
    <x v="3"/>
    <x v="2"/>
    <x v="9"/>
    <x v="2"/>
    <x v="2"/>
    <x v="297"/>
    <x v="1"/>
    <x v="9"/>
    <x v="689"/>
    <x v="100"/>
    <x v="693"/>
  </r>
  <r>
    <x v="13"/>
    <x v="11"/>
    <x v="0"/>
    <x v="0"/>
    <x v="1"/>
    <x v="2"/>
    <x v="1"/>
    <x v="4"/>
    <x v="3"/>
    <x v="59"/>
    <x v="0"/>
    <x v="4"/>
    <x v="487"/>
    <x v="91"/>
    <x v="532"/>
  </r>
  <r>
    <x v="14"/>
    <x v="12"/>
    <x v="0"/>
    <x v="0"/>
    <x v="4"/>
    <x v="3"/>
    <x v="2"/>
    <x v="6"/>
    <x v="10"/>
    <x v="9"/>
    <x v="0"/>
    <x v="2"/>
    <x v="131"/>
    <x v="36"/>
    <x v="180"/>
  </r>
  <r>
    <x v="15"/>
    <x v="13"/>
    <x v="0"/>
    <x v="1"/>
    <x v="3"/>
    <x v="3"/>
    <x v="3"/>
    <x v="3"/>
    <x v="7"/>
    <x v="1"/>
    <x v="2"/>
    <x v="0"/>
    <x v="12"/>
    <x v="5"/>
    <x v="9"/>
  </r>
  <r>
    <x v="16"/>
    <x v="14"/>
    <x v="0"/>
    <x v="1"/>
    <x v="3"/>
    <x v="3"/>
    <x v="2"/>
    <x v="2"/>
    <x v="4"/>
    <x v="14"/>
    <x v="0"/>
    <x v="2"/>
    <x v="48"/>
    <x v="11"/>
    <x v="64"/>
  </r>
  <r>
    <x v="17"/>
    <x v="14"/>
    <x v="0"/>
    <x v="1"/>
    <x v="2"/>
    <x v="2"/>
    <x v="1"/>
    <x v="5"/>
    <x v="3"/>
    <x v="85"/>
    <x v="0"/>
    <x v="4"/>
    <x v="508"/>
    <x v="91"/>
    <x v="611"/>
  </r>
  <r>
    <x v="18"/>
    <x v="15"/>
    <x v="0"/>
    <x v="1"/>
    <x v="0"/>
    <x v="3"/>
    <x v="3"/>
    <x v="1"/>
    <x v="17"/>
    <x v="0"/>
    <x v="2"/>
    <x v="0"/>
    <x v="59"/>
    <x v="22"/>
    <x v="68"/>
  </r>
  <r>
    <x v="19"/>
    <x v="16"/>
    <x v="0"/>
    <x v="1"/>
    <x v="4"/>
    <x v="3"/>
    <x v="3"/>
    <x v="7"/>
    <x v="37"/>
    <x v="0"/>
    <x v="1"/>
    <x v="0"/>
    <x v="201"/>
    <x v="57"/>
    <x v="262"/>
  </r>
  <r>
    <x v="20"/>
    <x v="16"/>
    <x v="0"/>
    <x v="1"/>
    <x v="4"/>
    <x v="3"/>
    <x v="3"/>
    <x v="6"/>
    <x v="25"/>
    <x v="1"/>
    <x v="0"/>
    <x v="0"/>
    <x v="135"/>
    <x v="35"/>
    <x v="201"/>
  </r>
  <r>
    <x v="21"/>
    <x v="17"/>
    <x v="0"/>
    <x v="1"/>
    <x v="2"/>
    <x v="1"/>
    <x v="8"/>
    <x v="0"/>
    <x v="1"/>
    <x v="405"/>
    <x v="2"/>
    <x v="10"/>
    <x v="655"/>
    <x v="99"/>
    <x v="559"/>
  </r>
  <r>
    <x v="22"/>
    <x v="18"/>
    <x v="0"/>
    <x v="1"/>
    <x v="0"/>
    <x v="0"/>
    <x v="0"/>
    <x v="1"/>
    <x v="2"/>
    <x v="272"/>
    <x v="2"/>
    <x v="8"/>
    <x v="604"/>
    <x v="97"/>
    <x v="620"/>
  </r>
  <r>
    <x v="23"/>
    <x v="19"/>
    <x v="0"/>
    <x v="1"/>
    <x v="1"/>
    <x v="2"/>
    <x v="9"/>
    <x v="4"/>
    <x v="2"/>
    <x v="289"/>
    <x v="0"/>
    <x v="9"/>
    <x v="703"/>
    <x v="100"/>
    <x v="718"/>
  </r>
  <r>
    <x v="24"/>
    <x v="20"/>
    <x v="0"/>
    <x v="1"/>
    <x v="4"/>
    <x v="1"/>
    <x v="11"/>
    <x v="7"/>
    <x v="5"/>
    <x v="20"/>
    <x v="2"/>
    <x v="3"/>
    <x v="391"/>
    <x v="87"/>
    <x v="420"/>
  </r>
  <r>
    <x v="25"/>
    <x v="21"/>
    <x v="0"/>
    <x v="1"/>
    <x v="3"/>
    <x v="0"/>
    <x v="10"/>
    <x v="3"/>
    <x v="0"/>
    <x v="233"/>
    <x v="0"/>
    <x v="7"/>
    <x v="301"/>
    <x v="82"/>
    <x v="294"/>
  </r>
  <r>
    <x v="26"/>
    <x v="22"/>
    <x v="0"/>
    <x v="1"/>
    <x v="0"/>
    <x v="0"/>
    <x v="5"/>
    <x v="1"/>
    <x v="2"/>
    <x v="145"/>
    <x v="0"/>
    <x v="6"/>
    <x v="541"/>
    <x v="94"/>
    <x v="490"/>
  </r>
  <r>
    <x v="27"/>
    <x v="23"/>
    <x v="0"/>
    <x v="1"/>
    <x v="3"/>
    <x v="1"/>
    <x v="4"/>
    <x v="2"/>
    <x v="1"/>
    <x v="468"/>
    <x v="0"/>
    <x v="11"/>
    <x v="808"/>
    <x v="103"/>
    <x v="775"/>
  </r>
  <r>
    <x v="28"/>
    <x v="24"/>
    <x v="0"/>
    <x v="1"/>
    <x v="1"/>
    <x v="0"/>
    <x v="5"/>
    <x v="4"/>
    <x v="2"/>
    <x v="161"/>
    <x v="1"/>
    <x v="6"/>
    <x v="535"/>
    <x v="94"/>
    <x v="458"/>
  </r>
  <r>
    <x v="29"/>
    <x v="24"/>
    <x v="0"/>
    <x v="1"/>
    <x v="2"/>
    <x v="0"/>
    <x v="5"/>
    <x v="0"/>
    <x v="1"/>
    <x v="167"/>
    <x v="3"/>
    <x v="6"/>
    <x v="396"/>
    <x v="90"/>
    <x v="132"/>
  </r>
  <r>
    <x v="30"/>
    <x v="25"/>
    <x v="0"/>
    <x v="1"/>
    <x v="1"/>
    <x v="2"/>
    <x v="1"/>
    <x v="9"/>
    <x v="0"/>
    <x v="71"/>
    <x v="1"/>
    <x v="4"/>
    <x v="99"/>
    <x v="37"/>
    <x v="86"/>
  </r>
  <r>
    <x v="31"/>
    <x v="25"/>
    <x v="0"/>
    <x v="1"/>
    <x v="0"/>
    <x v="3"/>
    <x v="6"/>
    <x v="8"/>
    <x v="4"/>
    <x v="6"/>
    <x v="0"/>
    <x v="1"/>
    <x v="15"/>
    <x v="4"/>
    <x v="16"/>
  </r>
  <r>
    <x v="32"/>
    <x v="26"/>
    <x v="0"/>
    <x v="1"/>
    <x v="3"/>
    <x v="3"/>
    <x v="6"/>
    <x v="3"/>
    <x v="25"/>
    <x v="6"/>
    <x v="0"/>
    <x v="1"/>
    <x v="249"/>
    <x v="62"/>
    <x v="364"/>
  </r>
  <r>
    <x v="33"/>
    <x v="26"/>
    <x v="0"/>
    <x v="1"/>
    <x v="2"/>
    <x v="0"/>
    <x v="5"/>
    <x v="5"/>
    <x v="2"/>
    <x v="173"/>
    <x v="1"/>
    <x v="6"/>
    <x v="539"/>
    <x v="94"/>
    <x v="488"/>
  </r>
  <r>
    <x v="34"/>
    <x v="27"/>
    <x v="0"/>
    <x v="1"/>
    <x v="3"/>
    <x v="1"/>
    <x v="11"/>
    <x v="3"/>
    <x v="0"/>
    <x v="35"/>
    <x v="0"/>
    <x v="3"/>
    <x v="45"/>
    <x v="13"/>
    <x v="52"/>
  </r>
  <r>
    <x v="35"/>
    <x v="27"/>
    <x v="0"/>
    <x v="1"/>
    <x v="1"/>
    <x v="1"/>
    <x v="8"/>
    <x v="4"/>
    <x v="0"/>
    <x v="406"/>
    <x v="0"/>
    <x v="10"/>
    <x v="484"/>
    <x v="92"/>
    <x v="467"/>
  </r>
  <r>
    <x v="36"/>
    <x v="28"/>
    <x v="0"/>
    <x v="1"/>
    <x v="3"/>
    <x v="2"/>
    <x v="9"/>
    <x v="3"/>
    <x v="1"/>
    <x v="294"/>
    <x v="1"/>
    <x v="9"/>
    <x v="559"/>
    <x v="95"/>
    <x v="540"/>
  </r>
  <r>
    <x v="37"/>
    <x v="29"/>
    <x v="0"/>
    <x v="1"/>
    <x v="3"/>
    <x v="3"/>
    <x v="6"/>
    <x v="2"/>
    <x v="35"/>
    <x v="3"/>
    <x v="1"/>
    <x v="1"/>
    <x v="331"/>
    <x v="82"/>
    <x v="381"/>
  </r>
  <r>
    <x v="38"/>
    <x v="29"/>
    <x v="0"/>
    <x v="1"/>
    <x v="0"/>
    <x v="0"/>
    <x v="5"/>
    <x v="1"/>
    <x v="1"/>
    <x v="174"/>
    <x v="2"/>
    <x v="6"/>
    <x v="410"/>
    <x v="90"/>
    <x v="238"/>
  </r>
  <r>
    <x v="39"/>
    <x v="30"/>
    <x v="0"/>
    <x v="1"/>
    <x v="2"/>
    <x v="2"/>
    <x v="9"/>
    <x v="0"/>
    <x v="0"/>
    <x v="285"/>
    <x v="0"/>
    <x v="9"/>
    <x v="368"/>
    <x v="88"/>
    <x v="304"/>
  </r>
  <r>
    <x v="40"/>
    <x v="31"/>
    <x v="0"/>
    <x v="1"/>
    <x v="4"/>
    <x v="3"/>
    <x v="2"/>
    <x v="6"/>
    <x v="17"/>
    <x v="10"/>
    <x v="0"/>
    <x v="2"/>
    <x v="262"/>
    <x v="66"/>
    <x v="371"/>
  </r>
  <r>
    <x v="41"/>
    <x v="31"/>
    <x v="0"/>
    <x v="1"/>
    <x v="3"/>
    <x v="3"/>
    <x v="6"/>
    <x v="2"/>
    <x v="28"/>
    <x v="6"/>
    <x v="1"/>
    <x v="1"/>
    <x v="270"/>
    <x v="71"/>
    <x v="358"/>
  </r>
  <r>
    <x v="42"/>
    <x v="32"/>
    <x v="0"/>
    <x v="2"/>
    <x v="4"/>
    <x v="3"/>
    <x v="3"/>
    <x v="7"/>
    <x v="46"/>
    <x v="1"/>
    <x v="0"/>
    <x v="0"/>
    <x v="330"/>
    <x v="76"/>
    <x v="455"/>
  </r>
  <r>
    <x v="43"/>
    <x v="33"/>
    <x v="0"/>
    <x v="2"/>
    <x v="3"/>
    <x v="1"/>
    <x v="8"/>
    <x v="2"/>
    <x v="0"/>
    <x v="395"/>
    <x v="0"/>
    <x v="10"/>
    <x v="478"/>
    <x v="92"/>
    <x v="450"/>
  </r>
  <r>
    <x v="44"/>
    <x v="34"/>
    <x v="0"/>
    <x v="2"/>
    <x v="4"/>
    <x v="3"/>
    <x v="3"/>
    <x v="6"/>
    <x v="16"/>
    <x v="0"/>
    <x v="0"/>
    <x v="0"/>
    <x v="63"/>
    <x v="20"/>
    <x v="105"/>
  </r>
  <r>
    <x v="45"/>
    <x v="35"/>
    <x v="0"/>
    <x v="2"/>
    <x v="2"/>
    <x v="2"/>
    <x v="9"/>
    <x v="5"/>
    <x v="2"/>
    <x v="311"/>
    <x v="0"/>
    <x v="9"/>
    <x v="726"/>
    <x v="100"/>
    <x v="744"/>
  </r>
  <r>
    <x v="46"/>
    <x v="36"/>
    <x v="0"/>
    <x v="2"/>
    <x v="2"/>
    <x v="1"/>
    <x v="11"/>
    <x v="5"/>
    <x v="2"/>
    <x v="35"/>
    <x v="0"/>
    <x v="3"/>
    <x v="206"/>
    <x v="56"/>
    <x v="284"/>
  </r>
  <r>
    <x v="47"/>
    <x v="37"/>
    <x v="0"/>
    <x v="2"/>
    <x v="4"/>
    <x v="1"/>
    <x v="8"/>
    <x v="6"/>
    <x v="0"/>
    <x v="399"/>
    <x v="0"/>
    <x v="10"/>
    <x v="481"/>
    <x v="92"/>
    <x v="459"/>
  </r>
  <r>
    <x v="48"/>
    <x v="38"/>
    <x v="0"/>
    <x v="2"/>
    <x v="3"/>
    <x v="1"/>
    <x v="4"/>
    <x v="2"/>
    <x v="0"/>
    <x v="411"/>
    <x v="0"/>
    <x v="11"/>
    <x v="704"/>
    <x v="101"/>
    <x v="615"/>
  </r>
  <r>
    <x v="49"/>
    <x v="38"/>
    <x v="0"/>
    <x v="2"/>
    <x v="0"/>
    <x v="1"/>
    <x v="11"/>
    <x v="1"/>
    <x v="0"/>
    <x v="24"/>
    <x v="1"/>
    <x v="3"/>
    <x v="32"/>
    <x v="13"/>
    <x v="29"/>
  </r>
  <r>
    <x v="50"/>
    <x v="39"/>
    <x v="0"/>
    <x v="2"/>
    <x v="3"/>
    <x v="3"/>
    <x v="3"/>
    <x v="3"/>
    <x v="18"/>
    <x v="0"/>
    <x v="1"/>
    <x v="0"/>
    <x v="68"/>
    <x v="24"/>
    <x v="101"/>
  </r>
  <r>
    <x v="51"/>
    <x v="40"/>
    <x v="0"/>
    <x v="2"/>
    <x v="4"/>
    <x v="1"/>
    <x v="11"/>
    <x v="6"/>
    <x v="5"/>
    <x v="46"/>
    <x v="0"/>
    <x v="3"/>
    <x v="436"/>
    <x v="87"/>
    <x v="592"/>
  </r>
  <r>
    <x v="52"/>
    <x v="40"/>
    <x v="0"/>
    <x v="2"/>
    <x v="2"/>
    <x v="3"/>
    <x v="3"/>
    <x v="0"/>
    <x v="42"/>
    <x v="1"/>
    <x v="0"/>
    <x v="0"/>
    <x v="288"/>
    <x v="68"/>
    <x v="413"/>
  </r>
  <r>
    <x v="53"/>
    <x v="41"/>
    <x v="0"/>
    <x v="2"/>
    <x v="1"/>
    <x v="0"/>
    <x v="10"/>
    <x v="4"/>
    <x v="2"/>
    <x v="257"/>
    <x v="0"/>
    <x v="7"/>
    <x v="630"/>
    <x v="96"/>
    <x v="726"/>
  </r>
  <r>
    <x v="54"/>
    <x v="42"/>
    <x v="0"/>
    <x v="2"/>
    <x v="3"/>
    <x v="3"/>
    <x v="6"/>
    <x v="3"/>
    <x v="26"/>
    <x v="4"/>
    <x v="0"/>
    <x v="1"/>
    <x v="248"/>
    <x v="65"/>
    <x v="331"/>
  </r>
  <r>
    <x v="55"/>
    <x v="42"/>
    <x v="0"/>
    <x v="2"/>
    <x v="1"/>
    <x v="2"/>
    <x v="9"/>
    <x v="9"/>
    <x v="0"/>
    <x v="301"/>
    <x v="1"/>
    <x v="9"/>
    <x v="362"/>
    <x v="88"/>
    <x v="283"/>
  </r>
  <r>
    <x v="56"/>
    <x v="43"/>
    <x v="0"/>
    <x v="2"/>
    <x v="4"/>
    <x v="1"/>
    <x v="4"/>
    <x v="6"/>
    <x v="0"/>
    <x v="435"/>
    <x v="1"/>
    <x v="11"/>
    <x v="692"/>
    <x v="101"/>
    <x v="561"/>
  </r>
  <r>
    <x v="57"/>
    <x v="44"/>
    <x v="0"/>
    <x v="2"/>
    <x v="3"/>
    <x v="3"/>
    <x v="3"/>
    <x v="3"/>
    <x v="33"/>
    <x v="1"/>
    <x v="3"/>
    <x v="0"/>
    <x v="151"/>
    <x v="50"/>
    <x v="174"/>
  </r>
  <r>
    <x v="58"/>
    <x v="45"/>
    <x v="0"/>
    <x v="2"/>
    <x v="4"/>
    <x v="3"/>
    <x v="3"/>
    <x v="7"/>
    <x v="31"/>
    <x v="0"/>
    <x v="0"/>
    <x v="0"/>
    <x v="164"/>
    <x v="46"/>
    <x v="242"/>
  </r>
  <r>
    <x v="59"/>
    <x v="46"/>
    <x v="0"/>
    <x v="3"/>
    <x v="2"/>
    <x v="0"/>
    <x v="10"/>
    <x v="0"/>
    <x v="0"/>
    <x v="207"/>
    <x v="3"/>
    <x v="7"/>
    <x v="234"/>
    <x v="82"/>
    <x v="111"/>
  </r>
  <r>
    <x v="60"/>
    <x v="46"/>
    <x v="0"/>
    <x v="3"/>
    <x v="4"/>
    <x v="1"/>
    <x v="4"/>
    <x v="6"/>
    <x v="1"/>
    <x v="455"/>
    <x v="0"/>
    <x v="11"/>
    <x v="805"/>
    <x v="103"/>
    <x v="772"/>
  </r>
  <r>
    <x v="61"/>
    <x v="47"/>
    <x v="0"/>
    <x v="3"/>
    <x v="2"/>
    <x v="1"/>
    <x v="8"/>
    <x v="5"/>
    <x v="0"/>
    <x v="394"/>
    <x v="3"/>
    <x v="10"/>
    <x v="423"/>
    <x v="92"/>
    <x v="163"/>
  </r>
  <r>
    <x v="62"/>
    <x v="47"/>
    <x v="0"/>
    <x v="3"/>
    <x v="2"/>
    <x v="1"/>
    <x v="11"/>
    <x v="0"/>
    <x v="5"/>
    <x v="39"/>
    <x v="3"/>
    <x v="3"/>
    <x v="390"/>
    <x v="87"/>
    <x v="418"/>
  </r>
  <r>
    <x v="63"/>
    <x v="48"/>
    <x v="0"/>
    <x v="3"/>
    <x v="3"/>
    <x v="1"/>
    <x v="8"/>
    <x v="2"/>
    <x v="1"/>
    <x v="392"/>
    <x v="0"/>
    <x v="10"/>
    <x v="683"/>
    <x v="99"/>
    <x v="695"/>
  </r>
  <r>
    <x v="64"/>
    <x v="48"/>
    <x v="0"/>
    <x v="3"/>
    <x v="3"/>
    <x v="3"/>
    <x v="3"/>
    <x v="2"/>
    <x v="22"/>
    <x v="2"/>
    <x v="2"/>
    <x v="0"/>
    <x v="107"/>
    <x v="30"/>
    <x v="143"/>
  </r>
  <r>
    <x v="65"/>
    <x v="49"/>
    <x v="0"/>
    <x v="3"/>
    <x v="2"/>
    <x v="1"/>
    <x v="11"/>
    <x v="0"/>
    <x v="5"/>
    <x v="37"/>
    <x v="1"/>
    <x v="3"/>
    <x v="412"/>
    <x v="87"/>
    <x v="524"/>
  </r>
  <r>
    <x v="66"/>
    <x v="50"/>
    <x v="0"/>
    <x v="3"/>
    <x v="2"/>
    <x v="2"/>
    <x v="1"/>
    <x v="0"/>
    <x v="1"/>
    <x v="60"/>
    <x v="3"/>
    <x v="4"/>
    <x v="213"/>
    <x v="79"/>
    <x v="115"/>
  </r>
  <r>
    <x v="67"/>
    <x v="51"/>
    <x v="0"/>
    <x v="3"/>
    <x v="2"/>
    <x v="1"/>
    <x v="4"/>
    <x v="0"/>
    <x v="0"/>
    <x v="448"/>
    <x v="1"/>
    <x v="11"/>
    <x v="700"/>
    <x v="101"/>
    <x v="596"/>
  </r>
  <r>
    <x v="68"/>
    <x v="51"/>
    <x v="0"/>
    <x v="3"/>
    <x v="4"/>
    <x v="2"/>
    <x v="9"/>
    <x v="6"/>
    <x v="1"/>
    <x v="308"/>
    <x v="0"/>
    <x v="9"/>
    <x v="583"/>
    <x v="95"/>
    <x v="640"/>
  </r>
  <r>
    <x v="69"/>
    <x v="51"/>
    <x v="0"/>
    <x v="3"/>
    <x v="4"/>
    <x v="1"/>
    <x v="8"/>
    <x v="7"/>
    <x v="0"/>
    <x v="345"/>
    <x v="0"/>
    <x v="10"/>
    <x v="458"/>
    <x v="92"/>
    <x v="351"/>
  </r>
  <r>
    <x v="70"/>
    <x v="52"/>
    <x v="0"/>
    <x v="3"/>
    <x v="4"/>
    <x v="2"/>
    <x v="7"/>
    <x v="6"/>
    <x v="4"/>
    <x v="135"/>
    <x v="1"/>
    <x v="5"/>
    <x v="647"/>
    <x v="98"/>
    <x v="708"/>
  </r>
  <r>
    <x v="71"/>
    <x v="53"/>
    <x v="0"/>
    <x v="3"/>
    <x v="1"/>
    <x v="0"/>
    <x v="5"/>
    <x v="9"/>
    <x v="2"/>
    <x v="156"/>
    <x v="1"/>
    <x v="6"/>
    <x v="533"/>
    <x v="94"/>
    <x v="440"/>
  </r>
  <r>
    <x v="72"/>
    <x v="54"/>
    <x v="0"/>
    <x v="3"/>
    <x v="4"/>
    <x v="2"/>
    <x v="9"/>
    <x v="7"/>
    <x v="0"/>
    <x v="279"/>
    <x v="1"/>
    <x v="9"/>
    <x v="350"/>
    <x v="88"/>
    <x v="211"/>
  </r>
  <r>
    <x v="73"/>
    <x v="54"/>
    <x v="0"/>
    <x v="3"/>
    <x v="3"/>
    <x v="1"/>
    <x v="4"/>
    <x v="3"/>
    <x v="1"/>
    <x v="452"/>
    <x v="0"/>
    <x v="11"/>
    <x v="804"/>
    <x v="103"/>
    <x v="771"/>
  </r>
  <r>
    <x v="74"/>
    <x v="55"/>
    <x v="0"/>
    <x v="3"/>
    <x v="2"/>
    <x v="3"/>
    <x v="2"/>
    <x v="0"/>
    <x v="12"/>
    <x v="12"/>
    <x v="1"/>
    <x v="2"/>
    <x v="153"/>
    <x v="43"/>
    <x v="220"/>
  </r>
  <r>
    <x v="75"/>
    <x v="56"/>
    <x v="0"/>
    <x v="3"/>
    <x v="4"/>
    <x v="1"/>
    <x v="4"/>
    <x v="7"/>
    <x v="0"/>
    <x v="445"/>
    <x v="0"/>
    <x v="11"/>
    <x v="721"/>
    <x v="101"/>
    <x v="676"/>
  </r>
  <r>
    <x v="76"/>
    <x v="57"/>
    <x v="0"/>
    <x v="3"/>
    <x v="3"/>
    <x v="3"/>
    <x v="2"/>
    <x v="2"/>
    <x v="1"/>
    <x v="13"/>
    <x v="0"/>
    <x v="2"/>
    <x v="1"/>
    <x v="0"/>
    <x v="2"/>
  </r>
  <r>
    <x v="77"/>
    <x v="58"/>
    <x v="0"/>
    <x v="3"/>
    <x v="2"/>
    <x v="2"/>
    <x v="9"/>
    <x v="0"/>
    <x v="1"/>
    <x v="319"/>
    <x v="1"/>
    <x v="9"/>
    <x v="571"/>
    <x v="95"/>
    <x v="614"/>
  </r>
  <r>
    <x v="78"/>
    <x v="59"/>
    <x v="0"/>
    <x v="3"/>
    <x v="4"/>
    <x v="3"/>
    <x v="6"/>
    <x v="7"/>
    <x v="34"/>
    <x v="3"/>
    <x v="0"/>
    <x v="1"/>
    <x v="336"/>
    <x v="81"/>
    <x v="424"/>
  </r>
  <r>
    <x v="79"/>
    <x v="59"/>
    <x v="0"/>
    <x v="3"/>
    <x v="3"/>
    <x v="3"/>
    <x v="3"/>
    <x v="2"/>
    <x v="18"/>
    <x v="2"/>
    <x v="2"/>
    <x v="0"/>
    <x v="71"/>
    <x v="24"/>
    <x v="108"/>
  </r>
  <r>
    <x v="80"/>
    <x v="60"/>
    <x v="0"/>
    <x v="3"/>
    <x v="0"/>
    <x v="1"/>
    <x v="4"/>
    <x v="1"/>
    <x v="1"/>
    <x v="472"/>
    <x v="3"/>
    <x v="11"/>
    <x v="779"/>
    <x v="103"/>
    <x v="637"/>
  </r>
  <r>
    <x v="81"/>
    <x v="61"/>
    <x v="0"/>
    <x v="3"/>
    <x v="3"/>
    <x v="1"/>
    <x v="4"/>
    <x v="3"/>
    <x v="1"/>
    <x v="464"/>
    <x v="0"/>
    <x v="11"/>
    <x v="806"/>
    <x v="103"/>
    <x v="773"/>
  </r>
  <r>
    <x v="82"/>
    <x v="62"/>
    <x v="0"/>
    <x v="4"/>
    <x v="2"/>
    <x v="0"/>
    <x v="5"/>
    <x v="0"/>
    <x v="2"/>
    <x v="185"/>
    <x v="1"/>
    <x v="6"/>
    <x v="548"/>
    <x v="94"/>
    <x v="538"/>
  </r>
  <r>
    <x v="83"/>
    <x v="63"/>
    <x v="0"/>
    <x v="4"/>
    <x v="2"/>
    <x v="1"/>
    <x v="11"/>
    <x v="0"/>
    <x v="0"/>
    <x v="42"/>
    <x v="1"/>
    <x v="3"/>
    <x v="39"/>
    <x v="13"/>
    <x v="43"/>
  </r>
  <r>
    <x v="84"/>
    <x v="63"/>
    <x v="0"/>
    <x v="4"/>
    <x v="2"/>
    <x v="2"/>
    <x v="1"/>
    <x v="5"/>
    <x v="2"/>
    <x v="82"/>
    <x v="0"/>
    <x v="4"/>
    <x v="413"/>
    <x v="89"/>
    <x v="500"/>
  </r>
  <r>
    <x v="85"/>
    <x v="64"/>
    <x v="0"/>
    <x v="4"/>
    <x v="3"/>
    <x v="1"/>
    <x v="11"/>
    <x v="3"/>
    <x v="2"/>
    <x v="35"/>
    <x v="1"/>
    <x v="3"/>
    <x v="188"/>
    <x v="56"/>
    <x v="236"/>
  </r>
  <r>
    <x v="86"/>
    <x v="64"/>
    <x v="0"/>
    <x v="4"/>
    <x v="2"/>
    <x v="2"/>
    <x v="1"/>
    <x v="0"/>
    <x v="0"/>
    <x v="73"/>
    <x v="1"/>
    <x v="4"/>
    <x v="101"/>
    <x v="37"/>
    <x v="87"/>
  </r>
  <r>
    <x v="87"/>
    <x v="64"/>
    <x v="0"/>
    <x v="4"/>
    <x v="1"/>
    <x v="3"/>
    <x v="2"/>
    <x v="9"/>
    <x v="7"/>
    <x v="8"/>
    <x v="2"/>
    <x v="2"/>
    <x v="60"/>
    <x v="24"/>
    <x v="66"/>
  </r>
  <r>
    <x v="88"/>
    <x v="65"/>
    <x v="0"/>
    <x v="4"/>
    <x v="3"/>
    <x v="1"/>
    <x v="4"/>
    <x v="3"/>
    <x v="1"/>
    <x v="459"/>
    <x v="1"/>
    <x v="11"/>
    <x v="794"/>
    <x v="103"/>
    <x v="760"/>
  </r>
  <r>
    <x v="89"/>
    <x v="65"/>
    <x v="0"/>
    <x v="4"/>
    <x v="3"/>
    <x v="0"/>
    <x v="0"/>
    <x v="3"/>
    <x v="2"/>
    <x v="214"/>
    <x v="1"/>
    <x v="8"/>
    <x v="597"/>
    <x v="97"/>
    <x v="585"/>
  </r>
  <r>
    <x v="90"/>
    <x v="66"/>
    <x v="0"/>
    <x v="4"/>
    <x v="3"/>
    <x v="3"/>
    <x v="6"/>
    <x v="2"/>
    <x v="18"/>
    <x v="6"/>
    <x v="0"/>
    <x v="1"/>
    <x v="152"/>
    <x v="42"/>
    <x v="229"/>
  </r>
  <r>
    <x v="91"/>
    <x v="67"/>
    <x v="0"/>
    <x v="4"/>
    <x v="3"/>
    <x v="3"/>
    <x v="6"/>
    <x v="2"/>
    <x v="13"/>
    <x v="6"/>
    <x v="3"/>
    <x v="1"/>
    <x v="75"/>
    <x v="29"/>
    <x v="81"/>
  </r>
  <r>
    <x v="92"/>
    <x v="68"/>
    <x v="0"/>
    <x v="4"/>
    <x v="2"/>
    <x v="3"/>
    <x v="3"/>
    <x v="5"/>
    <x v="22"/>
    <x v="1"/>
    <x v="0"/>
    <x v="0"/>
    <x v="119"/>
    <x v="30"/>
    <x v="172"/>
  </r>
  <r>
    <x v="93"/>
    <x v="69"/>
    <x v="0"/>
    <x v="4"/>
    <x v="1"/>
    <x v="3"/>
    <x v="6"/>
    <x v="4"/>
    <x v="37"/>
    <x v="3"/>
    <x v="0"/>
    <x v="1"/>
    <x v="352"/>
    <x v="84"/>
    <x v="453"/>
  </r>
  <r>
    <x v="94"/>
    <x v="70"/>
    <x v="0"/>
    <x v="4"/>
    <x v="1"/>
    <x v="3"/>
    <x v="2"/>
    <x v="9"/>
    <x v="16"/>
    <x v="9"/>
    <x v="1"/>
    <x v="2"/>
    <x v="223"/>
    <x v="61"/>
    <x v="276"/>
  </r>
  <r>
    <x v="95"/>
    <x v="71"/>
    <x v="0"/>
    <x v="4"/>
    <x v="0"/>
    <x v="0"/>
    <x v="5"/>
    <x v="8"/>
    <x v="2"/>
    <x v="160"/>
    <x v="1"/>
    <x v="6"/>
    <x v="534"/>
    <x v="94"/>
    <x v="456"/>
  </r>
  <r>
    <x v="96"/>
    <x v="72"/>
    <x v="0"/>
    <x v="4"/>
    <x v="2"/>
    <x v="1"/>
    <x v="4"/>
    <x v="0"/>
    <x v="0"/>
    <x v="441"/>
    <x v="3"/>
    <x v="11"/>
    <x v="663"/>
    <x v="101"/>
    <x v="250"/>
  </r>
  <r>
    <x v="97"/>
    <x v="73"/>
    <x v="0"/>
    <x v="4"/>
    <x v="2"/>
    <x v="3"/>
    <x v="2"/>
    <x v="0"/>
    <x v="13"/>
    <x v="13"/>
    <x v="2"/>
    <x v="2"/>
    <x v="160"/>
    <x v="49"/>
    <x v="210"/>
  </r>
  <r>
    <x v="98"/>
    <x v="74"/>
    <x v="0"/>
    <x v="4"/>
    <x v="1"/>
    <x v="1"/>
    <x v="11"/>
    <x v="4"/>
    <x v="5"/>
    <x v="44"/>
    <x v="2"/>
    <x v="3"/>
    <x v="407"/>
    <x v="87"/>
    <x v="491"/>
  </r>
  <r>
    <x v="99"/>
    <x v="75"/>
    <x v="0"/>
    <x v="4"/>
    <x v="1"/>
    <x v="3"/>
    <x v="3"/>
    <x v="9"/>
    <x v="19"/>
    <x v="1"/>
    <x v="2"/>
    <x v="0"/>
    <x v="73"/>
    <x v="25"/>
    <x v="102"/>
  </r>
  <r>
    <x v="100"/>
    <x v="76"/>
    <x v="0"/>
    <x v="5"/>
    <x v="4"/>
    <x v="2"/>
    <x v="7"/>
    <x v="6"/>
    <x v="0"/>
    <x v="136"/>
    <x v="0"/>
    <x v="5"/>
    <x v="168"/>
    <x v="56"/>
    <x v="185"/>
  </r>
  <r>
    <x v="101"/>
    <x v="77"/>
    <x v="0"/>
    <x v="5"/>
    <x v="1"/>
    <x v="3"/>
    <x v="3"/>
    <x v="4"/>
    <x v="23"/>
    <x v="2"/>
    <x v="1"/>
    <x v="0"/>
    <x v="123"/>
    <x v="33"/>
    <x v="173"/>
  </r>
  <r>
    <x v="102"/>
    <x v="78"/>
    <x v="0"/>
    <x v="5"/>
    <x v="1"/>
    <x v="1"/>
    <x v="8"/>
    <x v="9"/>
    <x v="2"/>
    <x v="368"/>
    <x v="2"/>
    <x v="10"/>
    <x v="744"/>
    <x v="102"/>
    <x v="636"/>
  </r>
  <r>
    <x v="103"/>
    <x v="79"/>
    <x v="0"/>
    <x v="5"/>
    <x v="2"/>
    <x v="3"/>
    <x v="3"/>
    <x v="0"/>
    <x v="43"/>
    <x v="0"/>
    <x v="3"/>
    <x v="0"/>
    <x v="227"/>
    <x v="69"/>
    <x v="225"/>
  </r>
  <r>
    <x v="104"/>
    <x v="80"/>
    <x v="0"/>
    <x v="5"/>
    <x v="1"/>
    <x v="1"/>
    <x v="11"/>
    <x v="4"/>
    <x v="1"/>
    <x v="19"/>
    <x v="3"/>
    <x v="3"/>
    <x v="84"/>
    <x v="34"/>
    <x v="62"/>
  </r>
  <r>
    <x v="105"/>
    <x v="81"/>
    <x v="0"/>
    <x v="5"/>
    <x v="2"/>
    <x v="1"/>
    <x v="4"/>
    <x v="5"/>
    <x v="1"/>
    <x v="470"/>
    <x v="0"/>
    <x v="11"/>
    <x v="809"/>
    <x v="103"/>
    <x v="776"/>
  </r>
  <r>
    <x v="106"/>
    <x v="81"/>
    <x v="0"/>
    <x v="5"/>
    <x v="0"/>
    <x v="2"/>
    <x v="7"/>
    <x v="1"/>
    <x v="0"/>
    <x v="102"/>
    <x v="0"/>
    <x v="5"/>
    <x v="154"/>
    <x v="56"/>
    <x v="146"/>
  </r>
  <r>
    <x v="107"/>
    <x v="81"/>
    <x v="0"/>
    <x v="5"/>
    <x v="3"/>
    <x v="1"/>
    <x v="8"/>
    <x v="3"/>
    <x v="2"/>
    <x v="401"/>
    <x v="1"/>
    <x v="10"/>
    <x v="766"/>
    <x v="102"/>
    <x v="740"/>
  </r>
  <r>
    <x v="108"/>
    <x v="82"/>
    <x v="0"/>
    <x v="5"/>
    <x v="3"/>
    <x v="0"/>
    <x v="0"/>
    <x v="2"/>
    <x v="1"/>
    <x v="271"/>
    <x v="0"/>
    <x v="8"/>
    <x v="525"/>
    <x v="93"/>
    <x v="594"/>
  </r>
  <r>
    <x v="109"/>
    <x v="83"/>
    <x v="0"/>
    <x v="5"/>
    <x v="2"/>
    <x v="3"/>
    <x v="6"/>
    <x v="0"/>
    <x v="31"/>
    <x v="7"/>
    <x v="1"/>
    <x v="1"/>
    <x v="321"/>
    <x v="77"/>
    <x v="423"/>
  </r>
  <r>
    <x v="110"/>
    <x v="84"/>
    <x v="0"/>
    <x v="5"/>
    <x v="4"/>
    <x v="1"/>
    <x v="4"/>
    <x v="6"/>
    <x v="0"/>
    <x v="440"/>
    <x v="1"/>
    <x v="11"/>
    <x v="696"/>
    <x v="101"/>
    <x v="571"/>
  </r>
  <r>
    <x v="111"/>
    <x v="85"/>
    <x v="0"/>
    <x v="5"/>
    <x v="3"/>
    <x v="0"/>
    <x v="0"/>
    <x v="3"/>
    <x v="0"/>
    <x v="247"/>
    <x v="3"/>
    <x v="8"/>
    <x v="246"/>
    <x v="84"/>
    <x v="110"/>
  </r>
  <r>
    <x v="112"/>
    <x v="86"/>
    <x v="0"/>
    <x v="5"/>
    <x v="2"/>
    <x v="1"/>
    <x v="8"/>
    <x v="5"/>
    <x v="1"/>
    <x v="364"/>
    <x v="1"/>
    <x v="10"/>
    <x v="658"/>
    <x v="99"/>
    <x v="583"/>
  </r>
  <r>
    <x v="113"/>
    <x v="87"/>
    <x v="0"/>
    <x v="5"/>
    <x v="0"/>
    <x v="0"/>
    <x v="5"/>
    <x v="1"/>
    <x v="0"/>
    <x v="183"/>
    <x v="0"/>
    <x v="6"/>
    <x v="238"/>
    <x v="77"/>
    <x v="188"/>
  </r>
  <r>
    <x v="114"/>
    <x v="87"/>
    <x v="0"/>
    <x v="5"/>
    <x v="3"/>
    <x v="1"/>
    <x v="11"/>
    <x v="2"/>
    <x v="2"/>
    <x v="24"/>
    <x v="1"/>
    <x v="3"/>
    <x v="179"/>
    <x v="56"/>
    <x v="209"/>
  </r>
  <r>
    <x v="115"/>
    <x v="88"/>
    <x v="0"/>
    <x v="5"/>
    <x v="2"/>
    <x v="3"/>
    <x v="2"/>
    <x v="5"/>
    <x v="17"/>
    <x v="8"/>
    <x v="0"/>
    <x v="2"/>
    <x v="253"/>
    <x v="66"/>
    <x v="339"/>
  </r>
  <r>
    <x v="116"/>
    <x v="89"/>
    <x v="0"/>
    <x v="5"/>
    <x v="2"/>
    <x v="0"/>
    <x v="0"/>
    <x v="5"/>
    <x v="0"/>
    <x v="234"/>
    <x v="0"/>
    <x v="8"/>
    <x v="303"/>
    <x v="84"/>
    <x v="244"/>
  </r>
  <r>
    <x v="117"/>
    <x v="89"/>
    <x v="0"/>
    <x v="5"/>
    <x v="4"/>
    <x v="0"/>
    <x v="10"/>
    <x v="7"/>
    <x v="1"/>
    <x v="242"/>
    <x v="0"/>
    <x v="7"/>
    <x v="514"/>
    <x v="92"/>
    <x v="575"/>
  </r>
  <r>
    <x v="118"/>
    <x v="90"/>
    <x v="0"/>
    <x v="6"/>
    <x v="2"/>
    <x v="0"/>
    <x v="0"/>
    <x v="5"/>
    <x v="2"/>
    <x v="210"/>
    <x v="0"/>
    <x v="8"/>
    <x v="612"/>
    <x v="97"/>
    <x v="643"/>
  </r>
  <r>
    <x v="119"/>
    <x v="91"/>
    <x v="0"/>
    <x v="6"/>
    <x v="3"/>
    <x v="3"/>
    <x v="6"/>
    <x v="2"/>
    <x v="39"/>
    <x v="4"/>
    <x v="1"/>
    <x v="1"/>
    <x v="355"/>
    <x v="86"/>
    <x v="447"/>
  </r>
  <r>
    <x v="120"/>
    <x v="91"/>
    <x v="0"/>
    <x v="6"/>
    <x v="2"/>
    <x v="3"/>
    <x v="2"/>
    <x v="0"/>
    <x v="16"/>
    <x v="12"/>
    <x v="2"/>
    <x v="2"/>
    <x v="217"/>
    <x v="61"/>
    <x v="263"/>
  </r>
  <r>
    <x v="121"/>
    <x v="92"/>
    <x v="0"/>
    <x v="6"/>
    <x v="3"/>
    <x v="2"/>
    <x v="9"/>
    <x v="2"/>
    <x v="0"/>
    <x v="304"/>
    <x v="0"/>
    <x v="9"/>
    <x v="386"/>
    <x v="88"/>
    <x v="372"/>
  </r>
  <r>
    <x v="122"/>
    <x v="93"/>
    <x v="0"/>
    <x v="6"/>
    <x v="1"/>
    <x v="1"/>
    <x v="4"/>
    <x v="9"/>
    <x v="1"/>
    <x v="481"/>
    <x v="0"/>
    <x v="11"/>
    <x v="811"/>
    <x v="103"/>
    <x v="778"/>
  </r>
  <r>
    <x v="123"/>
    <x v="94"/>
    <x v="0"/>
    <x v="6"/>
    <x v="0"/>
    <x v="2"/>
    <x v="7"/>
    <x v="1"/>
    <x v="4"/>
    <x v="92"/>
    <x v="2"/>
    <x v="5"/>
    <x v="602"/>
    <x v="98"/>
    <x v="546"/>
  </r>
  <r>
    <x v="124"/>
    <x v="94"/>
    <x v="0"/>
    <x v="6"/>
    <x v="4"/>
    <x v="3"/>
    <x v="3"/>
    <x v="7"/>
    <x v="34"/>
    <x v="1"/>
    <x v="0"/>
    <x v="0"/>
    <x v="202"/>
    <x v="52"/>
    <x v="312"/>
  </r>
  <r>
    <x v="125"/>
    <x v="95"/>
    <x v="0"/>
    <x v="6"/>
    <x v="3"/>
    <x v="1"/>
    <x v="4"/>
    <x v="2"/>
    <x v="1"/>
    <x v="434"/>
    <x v="0"/>
    <x v="11"/>
    <x v="801"/>
    <x v="103"/>
    <x v="768"/>
  </r>
  <r>
    <x v="126"/>
    <x v="95"/>
    <x v="0"/>
    <x v="6"/>
    <x v="4"/>
    <x v="1"/>
    <x v="8"/>
    <x v="6"/>
    <x v="2"/>
    <x v="335"/>
    <x v="0"/>
    <x v="10"/>
    <x v="758"/>
    <x v="102"/>
    <x v="726"/>
  </r>
  <r>
    <x v="127"/>
    <x v="96"/>
    <x v="0"/>
    <x v="6"/>
    <x v="2"/>
    <x v="1"/>
    <x v="11"/>
    <x v="5"/>
    <x v="1"/>
    <x v="27"/>
    <x v="0"/>
    <x v="3"/>
    <x v="119"/>
    <x v="34"/>
    <x v="152"/>
  </r>
  <r>
    <x v="128"/>
    <x v="96"/>
    <x v="0"/>
    <x v="6"/>
    <x v="2"/>
    <x v="0"/>
    <x v="0"/>
    <x v="0"/>
    <x v="0"/>
    <x v="275"/>
    <x v="0"/>
    <x v="8"/>
    <x v="327"/>
    <x v="84"/>
    <x v="334"/>
  </r>
  <r>
    <x v="129"/>
    <x v="97"/>
    <x v="0"/>
    <x v="6"/>
    <x v="0"/>
    <x v="1"/>
    <x v="11"/>
    <x v="1"/>
    <x v="0"/>
    <x v="24"/>
    <x v="0"/>
    <x v="3"/>
    <x v="38"/>
    <x v="13"/>
    <x v="42"/>
  </r>
  <r>
    <x v="130"/>
    <x v="98"/>
    <x v="0"/>
    <x v="6"/>
    <x v="4"/>
    <x v="3"/>
    <x v="2"/>
    <x v="7"/>
    <x v="11"/>
    <x v="13"/>
    <x v="1"/>
    <x v="2"/>
    <x v="142"/>
    <x v="40"/>
    <x v="203"/>
  </r>
  <r>
    <x v="131"/>
    <x v="99"/>
    <x v="0"/>
    <x v="6"/>
    <x v="3"/>
    <x v="1"/>
    <x v="8"/>
    <x v="3"/>
    <x v="0"/>
    <x v="362"/>
    <x v="3"/>
    <x v="10"/>
    <x v="414"/>
    <x v="92"/>
    <x v="116"/>
  </r>
  <r>
    <x v="132"/>
    <x v="100"/>
    <x v="0"/>
    <x v="6"/>
    <x v="2"/>
    <x v="3"/>
    <x v="6"/>
    <x v="5"/>
    <x v="10"/>
    <x v="7"/>
    <x v="2"/>
    <x v="1"/>
    <x v="58"/>
    <x v="21"/>
    <x v="72"/>
  </r>
  <r>
    <x v="133"/>
    <x v="101"/>
    <x v="0"/>
    <x v="6"/>
    <x v="4"/>
    <x v="1"/>
    <x v="11"/>
    <x v="6"/>
    <x v="0"/>
    <x v="20"/>
    <x v="0"/>
    <x v="3"/>
    <x v="36"/>
    <x v="13"/>
    <x v="39"/>
  </r>
  <r>
    <x v="134"/>
    <x v="102"/>
    <x v="0"/>
    <x v="7"/>
    <x v="1"/>
    <x v="2"/>
    <x v="9"/>
    <x v="4"/>
    <x v="2"/>
    <x v="284"/>
    <x v="2"/>
    <x v="9"/>
    <x v="666"/>
    <x v="100"/>
    <x v="554"/>
  </r>
  <r>
    <x v="135"/>
    <x v="103"/>
    <x v="0"/>
    <x v="7"/>
    <x v="3"/>
    <x v="1"/>
    <x v="8"/>
    <x v="2"/>
    <x v="2"/>
    <x v="393"/>
    <x v="0"/>
    <x v="10"/>
    <x v="773"/>
    <x v="102"/>
    <x v="758"/>
  </r>
  <r>
    <x v="136"/>
    <x v="103"/>
    <x v="0"/>
    <x v="7"/>
    <x v="2"/>
    <x v="3"/>
    <x v="2"/>
    <x v="0"/>
    <x v="17"/>
    <x v="13"/>
    <x v="0"/>
    <x v="2"/>
    <x v="282"/>
    <x v="66"/>
    <x v="411"/>
  </r>
  <r>
    <x v="137"/>
    <x v="104"/>
    <x v="0"/>
    <x v="7"/>
    <x v="0"/>
    <x v="0"/>
    <x v="5"/>
    <x v="1"/>
    <x v="0"/>
    <x v="153"/>
    <x v="0"/>
    <x v="6"/>
    <x v="210"/>
    <x v="77"/>
    <x v="140"/>
  </r>
  <r>
    <x v="138"/>
    <x v="104"/>
    <x v="0"/>
    <x v="7"/>
    <x v="3"/>
    <x v="3"/>
    <x v="2"/>
    <x v="3"/>
    <x v="15"/>
    <x v="9"/>
    <x v="0"/>
    <x v="2"/>
    <x v="219"/>
    <x v="57"/>
    <x v="307"/>
  </r>
  <r>
    <x v="139"/>
    <x v="105"/>
    <x v="0"/>
    <x v="7"/>
    <x v="0"/>
    <x v="0"/>
    <x v="0"/>
    <x v="8"/>
    <x v="0"/>
    <x v="246"/>
    <x v="1"/>
    <x v="8"/>
    <x v="287"/>
    <x v="84"/>
    <x v="204"/>
  </r>
  <r>
    <x v="140"/>
    <x v="105"/>
    <x v="0"/>
    <x v="7"/>
    <x v="3"/>
    <x v="0"/>
    <x v="5"/>
    <x v="2"/>
    <x v="2"/>
    <x v="143"/>
    <x v="1"/>
    <x v="6"/>
    <x v="529"/>
    <x v="94"/>
    <x v="401"/>
  </r>
  <r>
    <x v="141"/>
    <x v="106"/>
    <x v="0"/>
    <x v="7"/>
    <x v="2"/>
    <x v="0"/>
    <x v="10"/>
    <x v="5"/>
    <x v="0"/>
    <x v="239"/>
    <x v="0"/>
    <x v="7"/>
    <x v="307"/>
    <x v="82"/>
    <x v="303"/>
  </r>
  <r>
    <x v="142"/>
    <x v="106"/>
    <x v="0"/>
    <x v="7"/>
    <x v="3"/>
    <x v="1"/>
    <x v="8"/>
    <x v="3"/>
    <x v="2"/>
    <x v="386"/>
    <x v="0"/>
    <x v="10"/>
    <x v="772"/>
    <x v="102"/>
    <x v="757"/>
  </r>
  <r>
    <x v="143"/>
    <x v="107"/>
    <x v="0"/>
    <x v="7"/>
    <x v="2"/>
    <x v="1"/>
    <x v="4"/>
    <x v="5"/>
    <x v="0"/>
    <x v="413"/>
    <x v="2"/>
    <x v="11"/>
    <x v="672"/>
    <x v="101"/>
    <x v="348"/>
  </r>
  <r>
    <x v="144"/>
    <x v="108"/>
    <x v="0"/>
    <x v="7"/>
    <x v="3"/>
    <x v="0"/>
    <x v="10"/>
    <x v="3"/>
    <x v="2"/>
    <x v="198"/>
    <x v="1"/>
    <x v="7"/>
    <x v="589"/>
    <x v="96"/>
    <x v="604"/>
  </r>
  <r>
    <x v="145"/>
    <x v="109"/>
    <x v="0"/>
    <x v="7"/>
    <x v="2"/>
    <x v="2"/>
    <x v="7"/>
    <x v="0"/>
    <x v="1"/>
    <x v="121"/>
    <x v="0"/>
    <x v="5"/>
    <x v="389"/>
    <x v="87"/>
    <x v="417"/>
  </r>
  <r>
    <x v="146"/>
    <x v="109"/>
    <x v="0"/>
    <x v="7"/>
    <x v="2"/>
    <x v="2"/>
    <x v="7"/>
    <x v="5"/>
    <x v="4"/>
    <x v="105"/>
    <x v="2"/>
    <x v="5"/>
    <x v="610"/>
    <x v="98"/>
    <x v="590"/>
  </r>
  <r>
    <x v="147"/>
    <x v="110"/>
    <x v="0"/>
    <x v="7"/>
    <x v="2"/>
    <x v="1"/>
    <x v="11"/>
    <x v="0"/>
    <x v="0"/>
    <x v="33"/>
    <x v="1"/>
    <x v="3"/>
    <x v="34"/>
    <x v="13"/>
    <x v="35"/>
  </r>
  <r>
    <x v="148"/>
    <x v="111"/>
    <x v="0"/>
    <x v="7"/>
    <x v="0"/>
    <x v="1"/>
    <x v="8"/>
    <x v="8"/>
    <x v="0"/>
    <x v="407"/>
    <x v="1"/>
    <x v="10"/>
    <x v="464"/>
    <x v="92"/>
    <x v="398"/>
  </r>
  <r>
    <x v="149"/>
    <x v="112"/>
    <x v="0"/>
    <x v="7"/>
    <x v="0"/>
    <x v="2"/>
    <x v="9"/>
    <x v="1"/>
    <x v="0"/>
    <x v="309"/>
    <x v="0"/>
    <x v="9"/>
    <x v="392"/>
    <x v="88"/>
    <x v="383"/>
  </r>
  <r>
    <x v="150"/>
    <x v="113"/>
    <x v="0"/>
    <x v="7"/>
    <x v="3"/>
    <x v="3"/>
    <x v="2"/>
    <x v="3"/>
    <x v="10"/>
    <x v="12"/>
    <x v="2"/>
    <x v="2"/>
    <x v="122"/>
    <x v="36"/>
    <x v="147"/>
  </r>
  <r>
    <x v="151"/>
    <x v="114"/>
    <x v="0"/>
    <x v="7"/>
    <x v="2"/>
    <x v="3"/>
    <x v="3"/>
    <x v="0"/>
    <x v="11"/>
    <x v="1"/>
    <x v="0"/>
    <x v="0"/>
    <x v="47"/>
    <x v="12"/>
    <x v="60"/>
  </r>
  <r>
    <x v="152"/>
    <x v="115"/>
    <x v="0"/>
    <x v="8"/>
    <x v="2"/>
    <x v="3"/>
    <x v="3"/>
    <x v="0"/>
    <x v="37"/>
    <x v="1"/>
    <x v="0"/>
    <x v="0"/>
    <x v="237"/>
    <x v="57"/>
    <x v="347"/>
  </r>
  <r>
    <x v="153"/>
    <x v="116"/>
    <x v="0"/>
    <x v="8"/>
    <x v="2"/>
    <x v="2"/>
    <x v="7"/>
    <x v="5"/>
    <x v="2"/>
    <x v="90"/>
    <x v="0"/>
    <x v="5"/>
    <x v="494"/>
    <x v="92"/>
    <x v="505"/>
  </r>
  <r>
    <x v="154"/>
    <x v="117"/>
    <x v="0"/>
    <x v="8"/>
    <x v="0"/>
    <x v="1"/>
    <x v="11"/>
    <x v="1"/>
    <x v="5"/>
    <x v="42"/>
    <x v="1"/>
    <x v="3"/>
    <x v="417"/>
    <x v="87"/>
    <x v="535"/>
  </r>
  <r>
    <x v="155"/>
    <x v="118"/>
    <x v="0"/>
    <x v="8"/>
    <x v="1"/>
    <x v="1"/>
    <x v="8"/>
    <x v="4"/>
    <x v="2"/>
    <x v="361"/>
    <x v="1"/>
    <x v="10"/>
    <x v="756"/>
    <x v="102"/>
    <x v="706"/>
  </r>
  <r>
    <x v="156"/>
    <x v="118"/>
    <x v="0"/>
    <x v="8"/>
    <x v="2"/>
    <x v="1"/>
    <x v="8"/>
    <x v="0"/>
    <x v="0"/>
    <x v="402"/>
    <x v="2"/>
    <x v="10"/>
    <x v="446"/>
    <x v="92"/>
    <x v="275"/>
  </r>
  <r>
    <x v="157"/>
    <x v="119"/>
    <x v="0"/>
    <x v="8"/>
    <x v="2"/>
    <x v="1"/>
    <x v="11"/>
    <x v="5"/>
    <x v="4"/>
    <x v="21"/>
    <x v="0"/>
    <x v="3"/>
    <x v="359"/>
    <x v="86"/>
    <x v="460"/>
  </r>
  <r>
    <x v="158"/>
    <x v="120"/>
    <x v="0"/>
    <x v="8"/>
    <x v="3"/>
    <x v="2"/>
    <x v="7"/>
    <x v="3"/>
    <x v="3"/>
    <x v="137"/>
    <x v="2"/>
    <x v="5"/>
    <x v="558"/>
    <x v="94"/>
    <x v="579"/>
  </r>
  <r>
    <x v="159"/>
    <x v="121"/>
    <x v="0"/>
    <x v="8"/>
    <x v="0"/>
    <x v="3"/>
    <x v="2"/>
    <x v="8"/>
    <x v="4"/>
    <x v="8"/>
    <x v="0"/>
    <x v="2"/>
    <x v="35"/>
    <x v="11"/>
    <x v="45"/>
  </r>
  <r>
    <x v="160"/>
    <x v="121"/>
    <x v="0"/>
    <x v="8"/>
    <x v="1"/>
    <x v="2"/>
    <x v="1"/>
    <x v="9"/>
    <x v="3"/>
    <x v="63"/>
    <x v="0"/>
    <x v="4"/>
    <x v="490"/>
    <x v="91"/>
    <x v="542"/>
  </r>
  <r>
    <x v="161"/>
    <x v="122"/>
    <x v="0"/>
    <x v="8"/>
    <x v="0"/>
    <x v="3"/>
    <x v="2"/>
    <x v="1"/>
    <x v="15"/>
    <x v="14"/>
    <x v="3"/>
    <x v="2"/>
    <x v="185"/>
    <x v="57"/>
    <x v="222"/>
  </r>
  <r>
    <x v="162"/>
    <x v="123"/>
    <x v="0"/>
    <x v="8"/>
    <x v="1"/>
    <x v="2"/>
    <x v="7"/>
    <x v="4"/>
    <x v="3"/>
    <x v="113"/>
    <x v="0"/>
    <x v="5"/>
    <x v="579"/>
    <x v="94"/>
    <x v="654"/>
  </r>
  <r>
    <x v="163"/>
    <x v="123"/>
    <x v="0"/>
    <x v="8"/>
    <x v="2"/>
    <x v="1"/>
    <x v="4"/>
    <x v="5"/>
    <x v="0"/>
    <x v="456"/>
    <x v="0"/>
    <x v="11"/>
    <x v="728"/>
    <x v="101"/>
    <x v="686"/>
  </r>
  <r>
    <x v="164"/>
    <x v="124"/>
    <x v="0"/>
    <x v="8"/>
    <x v="0"/>
    <x v="3"/>
    <x v="2"/>
    <x v="8"/>
    <x v="16"/>
    <x v="13"/>
    <x v="2"/>
    <x v="2"/>
    <x v="224"/>
    <x v="61"/>
    <x v="279"/>
  </r>
  <r>
    <x v="165"/>
    <x v="125"/>
    <x v="0"/>
    <x v="8"/>
    <x v="4"/>
    <x v="2"/>
    <x v="9"/>
    <x v="6"/>
    <x v="1"/>
    <x v="290"/>
    <x v="0"/>
    <x v="9"/>
    <x v="568"/>
    <x v="95"/>
    <x v="602"/>
  </r>
  <r>
    <x v="166"/>
    <x v="126"/>
    <x v="0"/>
    <x v="8"/>
    <x v="2"/>
    <x v="3"/>
    <x v="3"/>
    <x v="5"/>
    <x v="19"/>
    <x v="1"/>
    <x v="0"/>
    <x v="0"/>
    <x v="92"/>
    <x v="25"/>
    <x v="146"/>
  </r>
  <r>
    <x v="167"/>
    <x v="127"/>
    <x v="0"/>
    <x v="8"/>
    <x v="4"/>
    <x v="1"/>
    <x v="11"/>
    <x v="7"/>
    <x v="2"/>
    <x v="27"/>
    <x v="0"/>
    <x v="3"/>
    <x v="198"/>
    <x v="56"/>
    <x v="258"/>
  </r>
  <r>
    <x v="168"/>
    <x v="128"/>
    <x v="0"/>
    <x v="8"/>
    <x v="0"/>
    <x v="1"/>
    <x v="4"/>
    <x v="8"/>
    <x v="1"/>
    <x v="424"/>
    <x v="0"/>
    <x v="11"/>
    <x v="799"/>
    <x v="103"/>
    <x v="766"/>
  </r>
  <r>
    <x v="169"/>
    <x v="129"/>
    <x v="0"/>
    <x v="8"/>
    <x v="2"/>
    <x v="3"/>
    <x v="2"/>
    <x v="0"/>
    <x v="10"/>
    <x v="10"/>
    <x v="1"/>
    <x v="2"/>
    <x v="125"/>
    <x v="36"/>
    <x v="161"/>
  </r>
  <r>
    <x v="170"/>
    <x v="130"/>
    <x v="0"/>
    <x v="8"/>
    <x v="1"/>
    <x v="1"/>
    <x v="8"/>
    <x v="9"/>
    <x v="2"/>
    <x v="354"/>
    <x v="0"/>
    <x v="10"/>
    <x v="765"/>
    <x v="102"/>
    <x v="739"/>
  </r>
  <r>
    <x v="171"/>
    <x v="131"/>
    <x v="0"/>
    <x v="8"/>
    <x v="4"/>
    <x v="3"/>
    <x v="3"/>
    <x v="6"/>
    <x v="40"/>
    <x v="2"/>
    <x v="1"/>
    <x v="0"/>
    <x v="254"/>
    <x v="63"/>
    <x v="368"/>
  </r>
  <r>
    <x v="172"/>
    <x v="132"/>
    <x v="0"/>
    <x v="9"/>
    <x v="4"/>
    <x v="2"/>
    <x v="7"/>
    <x v="6"/>
    <x v="3"/>
    <x v="129"/>
    <x v="2"/>
    <x v="5"/>
    <x v="555"/>
    <x v="94"/>
    <x v="564"/>
  </r>
  <r>
    <x v="173"/>
    <x v="133"/>
    <x v="0"/>
    <x v="9"/>
    <x v="0"/>
    <x v="2"/>
    <x v="7"/>
    <x v="8"/>
    <x v="0"/>
    <x v="103"/>
    <x v="2"/>
    <x v="5"/>
    <x v="138"/>
    <x v="56"/>
    <x v="78"/>
  </r>
  <r>
    <x v="174"/>
    <x v="134"/>
    <x v="0"/>
    <x v="9"/>
    <x v="3"/>
    <x v="3"/>
    <x v="3"/>
    <x v="2"/>
    <x v="20"/>
    <x v="1"/>
    <x v="0"/>
    <x v="0"/>
    <x v="102"/>
    <x v="27"/>
    <x v="154"/>
  </r>
  <r>
    <x v="175"/>
    <x v="135"/>
    <x v="0"/>
    <x v="9"/>
    <x v="2"/>
    <x v="3"/>
    <x v="2"/>
    <x v="5"/>
    <x v="3"/>
    <x v="12"/>
    <x v="0"/>
    <x v="2"/>
    <x v="26"/>
    <x v="8"/>
    <x v="34"/>
  </r>
  <r>
    <x v="176"/>
    <x v="135"/>
    <x v="0"/>
    <x v="9"/>
    <x v="3"/>
    <x v="1"/>
    <x v="4"/>
    <x v="3"/>
    <x v="0"/>
    <x v="410"/>
    <x v="3"/>
    <x v="11"/>
    <x v="650"/>
    <x v="101"/>
    <x v="128"/>
  </r>
  <r>
    <x v="177"/>
    <x v="136"/>
    <x v="0"/>
    <x v="9"/>
    <x v="2"/>
    <x v="1"/>
    <x v="11"/>
    <x v="0"/>
    <x v="0"/>
    <x v="18"/>
    <x v="1"/>
    <x v="3"/>
    <x v="31"/>
    <x v="13"/>
    <x v="24"/>
  </r>
  <r>
    <x v="178"/>
    <x v="137"/>
    <x v="0"/>
    <x v="9"/>
    <x v="4"/>
    <x v="0"/>
    <x v="10"/>
    <x v="7"/>
    <x v="2"/>
    <x v="257"/>
    <x v="0"/>
    <x v="7"/>
    <x v="630"/>
    <x v="96"/>
    <x v="726"/>
  </r>
  <r>
    <x v="179"/>
    <x v="137"/>
    <x v="0"/>
    <x v="9"/>
    <x v="4"/>
    <x v="1"/>
    <x v="8"/>
    <x v="7"/>
    <x v="2"/>
    <x v="398"/>
    <x v="2"/>
    <x v="10"/>
    <x v="752"/>
    <x v="102"/>
    <x v="688"/>
  </r>
  <r>
    <x v="180"/>
    <x v="138"/>
    <x v="0"/>
    <x v="9"/>
    <x v="2"/>
    <x v="2"/>
    <x v="9"/>
    <x v="5"/>
    <x v="2"/>
    <x v="299"/>
    <x v="1"/>
    <x v="9"/>
    <x v="690"/>
    <x v="100"/>
    <x v="696"/>
  </r>
  <r>
    <x v="181"/>
    <x v="139"/>
    <x v="0"/>
    <x v="9"/>
    <x v="2"/>
    <x v="1"/>
    <x v="11"/>
    <x v="5"/>
    <x v="0"/>
    <x v="24"/>
    <x v="2"/>
    <x v="3"/>
    <x v="28"/>
    <x v="13"/>
    <x v="18"/>
  </r>
  <r>
    <x v="182"/>
    <x v="140"/>
    <x v="0"/>
    <x v="9"/>
    <x v="3"/>
    <x v="2"/>
    <x v="7"/>
    <x v="3"/>
    <x v="2"/>
    <x v="136"/>
    <x v="2"/>
    <x v="5"/>
    <x v="485"/>
    <x v="92"/>
    <x v="473"/>
  </r>
  <r>
    <x v="183"/>
    <x v="140"/>
    <x v="0"/>
    <x v="9"/>
    <x v="3"/>
    <x v="0"/>
    <x v="10"/>
    <x v="2"/>
    <x v="2"/>
    <x v="248"/>
    <x v="0"/>
    <x v="7"/>
    <x v="623"/>
    <x v="96"/>
    <x v="714"/>
  </r>
  <r>
    <x v="184"/>
    <x v="141"/>
    <x v="0"/>
    <x v="9"/>
    <x v="1"/>
    <x v="1"/>
    <x v="4"/>
    <x v="4"/>
    <x v="0"/>
    <x v="490"/>
    <x v="1"/>
    <x v="11"/>
    <x v="725"/>
    <x v="101"/>
    <x v="682"/>
  </r>
  <r>
    <x v="185"/>
    <x v="142"/>
    <x v="0"/>
    <x v="9"/>
    <x v="3"/>
    <x v="3"/>
    <x v="2"/>
    <x v="3"/>
    <x v="4"/>
    <x v="14"/>
    <x v="3"/>
    <x v="2"/>
    <x v="29"/>
    <x v="11"/>
    <x v="26"/>
  </r>
  <r>
    <x v="186"/>
    <x v="143"/>
    <x v="0"/>
    <x v="9"/>
    <x v="0"/>
    <x v="0"/>
    <x v="10"/>
    <x v="8"/>
    <x v="2"/>
    <x v="225"/>
    <x v="2"/>
    <x v="7"/>
    <x v="585"/>
    <x v="96"/>
    <x v="576"/>
  </r>
  <r>
    <x v="187"/>
    <x v="143"/>
    <x v="0"/>
    <x v="9"/>
    <x v="3"/>
    <x v="3"/>
    <x v="6"/>
    <x v="2"/>
    <x v="21"/>
    <x v="4"/>
    <x v="0"/>
    <x v="1"/>
    <x v="177"/>
    <x v="51"/>
    <x v="243"/>
  </r>
  <r>
    <x v="188"/>
    <x v="143"/>
    <x v="0"/>
    <x v="9"/>
    <x v="1"/>
    <x v="0"/>
    <x v="5"/>
    <x v="9"/>
    <x v="0"/>
    <x v="177"/>
    <x v="1"/>
    <x v="6"/>
    <x v="207"/>
    <x v="77"/>
    <x v="135"/>
  </r>
  <r>
    <x v="189"/>
    <x v="144"/>
    <x v="0"/>
    <x v="9"/>
    <x v="2"/>
    <x v="3"/>
    <x v="6"/>
    <x v="0"/>
    <x v="18"/>
    <x v="5"/>
    <x v="0"/>
    <x v="1"/>
    <x v="148"/>
    <x v="42"/>
    <x v="219"/>
  </r>
  <r>
    <x v="190"/>
    <x v="145"/>
    <x v="0"/>
    <x v="9"/>
    <x v="4"/>
    <x v="0"/>
    <x v="5"/>
    <x v="6"/>
    <x v="1"/>
    <x v="193"/>
    <x v="2"/>
    <x v="6"/>
    <x v="419"/>
    <x v="90"/>
    <x v="305"/>
  </r>
  <r>
    <x v="191"/>
    <x v="146"/>
    <x v="0"/>
    <x v="9"/>
    <x v="2"/>
    <x v="3"/>
    <x v="2"/>
    <x v="0"/>
    <x v="19"/>
    <x v="13"/>
    <x v="2"/>
    <x v="2"/>
    <x v="282"/>
    <x v="74"/>
    <x v="350"/>
  </r>
  <r>
    <x v="192"/>
    <x v="147"/>
    <x v="0"/>
    <x v="9"/>
    <x v="0"/>
    <x v="2"/>
    <x v="7"/>
    <x v="8"/>
    <x v="3"/>
    <x v="109"/>
    <x v="0"/>
    <x v="5"/>
    <x v="575"/>
    <x v="94"/>
    <x v="648"/>
  </r>
  <r>
    <x v="193"/>
    <x v="148"/>
    <x v="0"/>
    <x v="9"/>
    <x v="4"/>
    <x v="2"/>
    <x v="7"/>
    <x v="7"/>
    <x v="2"/>
    <x v="125"/>
    <x v="0"/>
    <x v="5"/>
    <x v="515"/>
    <x v="92"/>
    <x v="577"/>
  </r>
  <r>
    <x v="194"/>
    <x v="149"/>
    <x v="0"/>
    <x v="9"/>
    <x v="4"/>
    <x v="0"/>
    <x v="5"/>
    <x v="7"/>
    <x v="0"/>
    <x v="171"/>
    <x v="0"/>
    <x v="6"/>
    <x v="225"/>
    <x v="77"/>
    <x v="159"/>
  </r>
  <r>
    <x v="195"/>
    <x v="150"/>
    <x v="0"/>
    <x v="9"/>
    <x v="0"/>
    <x v="1"/>
    <x v="8"/>
    <x v="1"/>
    <x v="1"/>
    <x v="350"/>
    <x v="1"/>
    <x v="10"/>
    <x v="652"/>
    <x v="99"/>
    <x v="541"/>
  </r>
  <r>
    <x v="196"/>
    <x v="150"/>
    <x v="0"/>
    <x v="9"/>
    <x v="2"/>
    <x v="2"/>
    <x v="7"/>
    <x v="0"/>
    <x v="4"/>
    <x v="109"/>
    <x v="2"/>
    <x v="5"/>
    <x v="613"/>
    <x v="98"/>
    <x v="605"/>
  </r>
  <r>
    <x v="197"/>
    <x v="151"/>
    <x v="0"/>
    <x v="9"/>
    <x v="1"/>
    <x v="3"/>
    <x v="6"/>
    <x v="4"/>
    <x v="37"/>
    <x v="4"/>
    <x v="0"/>
    <x v="1"/>
    <x v="355"/>
    <x v="84"/>
    <x v="469"/>
  </r>
  <r>
    <x v="198"/>
    <x v="151"/>
    <x v="0"/>
    <x v="9"/>
    <x v="3"/>
    <x v="2"/>
    <x v="7"/>
    <x v="3"/>
    <x v="3"/>
    <x v="123"/>
    <x v="0"/>
    <x v="5"/>
    <x v="584"/>
    <x v="94"/>
    <x v="677"/>
  </r>
  <r>
    <x v="199"/>
    <x v="152"/>
    <x v="0"/>
    <x v="9"/>
    <x v="2"/>
    <x v="3"/>
    <x v="3"/>
    <x v="5"/>
    <x v="33"/>
    <x v="2"/>
    <x v="0"/>
    <x v="0"/>
    <x v="203"/>
    <x v="50"/>
    <x v="329"/>
  </r>
  <r>
    <x v="200"/>
    <x v="153"/>
    <x v="0"/>
    <x v="10"/>
    <x v="2"/>
    <x v="3"/>
    <x v="3"/>
    <x v="5"/>
    <x v="14"/>
    <x v="0"/>
    <x v="2"/>
    <x v="0"/>
    <x v="51"/>
    <x v="17"/>
    <x v="51"/>
  </r>
  <r>
    <x v="201"/>
    <x v="153"/>
    <x v="0"/>
    <x v="10"/>
    <x v="3"/>
    <x v="3"/>
    <x v="3"/>
    <x v="2"/>
    <x v="47"/>
    <x v="0"/>
    <x v="1"/>
    <x v="0"/>
    <x v="308"/>
    <x v="77"/>
    <x v="385"/>
  </r>
  <r>
    <x v="202"/>
    <x v="154"/>
    <x v="0"/>
    <x v="10"/>
    <x v="3"/>
    <x v="3"/>
    <x v="2"/>
    <x v="2"/>
    <x v="12"/>
    <x v="9"/>
    <x v="1"/>
    <x v="2"/>
    <x v="145"/>
    <x v="43"/>
    <x v="192"/>
  </r>
  <r>
    <x v="203"/>
    <x v="155"/>
    <x v="0"/>
    <x v="10"/>
    <x v="2"/>
    <x v="3"/>
    <x v="6"/>
    <x v="0"/>
    <x v="37"/>
    <x v="4"/>
    <x v="3"/>
    <x v="1"/>
    <x v="319"/>
    <x v="84"/>
    <x v="299"/>
  </r>
  <r>
    <x v="204"/>
    <x v="156"/>
    <x v="0"/>
    <x v="10"/>
    <x v="3"/>
    <x v="1"/>
    <x v="8"/>
    <x v="3"/>
    <x v="1"/>
    <x v="333"/>
    <x v="3"/>
    <x v="10"/>
    <x v="605"/>
    <x v="99"/>
    <x v="166"/>
  </r>
  <r>
    <x v="205"/>
    <x v="157"/>
    <x v="0"/>
    <x v="10"/>
    <x v="2"/>
    <x v="3"/>
    <x v="2"/>
    <x v="5"/>
    <x v="15"/>
    <x v="11"/>
    <x v="1"/>
    <x v="2"/>
    <x v="207"/>
    <x v="57"/>
    <x v="280"/>
  </r>
  <r>
    <x v="206"/>
    <x v="158"/>
    <x v="0"/>
    <x v="10"/>
    <x v="3"/>
    <x v="3"/>
    <x v="2"/>
    <x v="3"/>
    <x v="10"/>
    <x v="11"/>
    <x v="1"/>
    <x v="2"/>
    <x v="129"/>
    <x v="36"/>
    <x v="167"/>
  </r>
  <r>
    <x v="207"/>
    <x v="158"/>
    <x v="0"/>
    <x v="10"/>
    <x v="0"/>
    <x v="3"/>
    <x v="6"/>
    <x v="8"/>
    <x v="16"/>
    <x v="4"/>
    <x v="0"/>
    <x v="1"/>
    <x v="131"/>
    <x v="38"/>
    <x v="174"/>
  </r>
  <r>
    <x v="208"/>
    <x v="159"/>
    <x v="0"/>
    <x v="10"/>
    <x v="0"/>
    <x v="2"/>
    <x v="7"/>
    <x v="8"/>
    <x v="4"/>
    <x v="132"/>
    <x v="1"/>
    <x v="5"/>
    <x v="645"/>
    <x v="98"/>
    <x v="704"/>
  </r>
  <r>
    <x v="209"/>
    <x v="159"/>
    <x v="0"/>
    <x v="10"/>
    <x v="3"/>
    <x v="3"/>
    <x v="2"/>
    <x v="3"/>
    <x v="13"/>
    <x v="8"/>
    <x v="0"/>
    <x v="2"/>
    <x v="169"/>
    <x v="49"/>
    <x v="235"/>
  </r>
  <r>
    <x v="210"/>
    <x v="159"/>
    <x v="0"/>
    <x v="10"/>
    <x v="1"/>
    <x v="1"/>
    <x v="4"/>
    <x v="4"/>
    <x v="0"/>
    <x v="488"/>
    <x v="3"/>
    <x v="11"/>
    <x v="678"/>
    <x v="101"/>
    <x v="454"/>
  </r>
  <r>
    <x v="211"/>
    <x v="160"/>
    <x v="0"/>
    <x v="10"/>
    <x v="3"/>
    <x v="1"/>
    <x v="8"/>
    <x v="2"/>
    <x v="2"/>
    <x v="343"/>
    <x v="3"/>
    <x v="10"/>
    <x v="737"/>
    <x v="102"/>
    <x v="369"/>
  </r>
  <r>
    <x v="212"/>
    <x v="161"/>
    <x v="0"/>
    <x v="10"/>
    <x v="2"/>
    <x v="1"/>
    <x v="4"/>
    <x v="0"/>
    <x v="0"/>
    <x v="467"/>
    <x v="0"/>
    <x v="11"/>
    <x v="730"/>
    <x v="101"/>
    <x v="699"/>
  </r>
  <r>
    <x v="213"/>
    <x v="162"/>
    <x v="0"/>
    <x v="10"/>
    <x v="2"/>
    <x v="1"/>
    <x v="11"/>
    <x v="0"/>
    <x v="0"/>
    <x v="22"/>
    <x v="0"/>
    <x v="3"/>
    <x v="37"/>
    <x v="13"/>
    <x v="40"/>
  </r>
  <r>
    <x v="214"/>
    <x v="162"/>
    <x v="0"/>
    <x v="10"/>
    <x v="3"/>
    <x v="1"/>
    <x v="8"/>
    <x v="2"/>
    <x v="1"/>
    <x v="367"/>
    <x v="2"/>
    <x v="10"/>
    <x v="638"/>
    <x v="99"/>
    <x v="482"/>
  </r>
  <r>
    <x v="215"/>
    <x v="163"/>
    <x v="0"/>
    <x v="10"/>
    <x v="2"/>
    <x v="1"/>
    <x v="11"/>
    <x v="0"/>
    <x v="3"/>
    <x v="41"/>
    <x v="2"/>
    <x v="3"/>
    <x v="282"/>
    <x v="77"/>
    <x v="316"/>
  </r>
  <r>
    <x v="216"/>
    <x v="163"/>
    <x v="0"/>
    <x v="10"/>
    <x v="2"/>
    <x v="1"/>
    <x v="4"/>
    <x v="5"/>
    <x v="1"/>
    <x v="418"/>
    <x v="0"/>
    <x v="11"/>
    <x v="796"/>
    <x v="103"/>
    <x v="763"/>
  </r>
  <r>
    <x v="217"/>
    <x v="164"/>
    <x v="0"/>
    <x v="10"/>
    <x v="0"/>
    <x v="0"/>
    <x v="0"/>
    <x v="1"/>
    <x v="2"/>
    <x v="267"/>
    <x v="0"/>
    <x v="8"/>
    <x v="633"/>
    <x v="97"/>
    <x v="710"/>
  </r>
  <r>
    <x v="218"/>
    <x v="165"/>
    <x v="0"/>
    <x v="10"/>
    <x v="1"/>
    <x v="3"/>
    <x v="6"/>
    <x v="9"/>
    <x v="11"/>
    <x v="5"/>
    <x v="0"/>
    <x v="1"/>
    <x v="73"/>
    <x v="23"/>
    <x v="116"/>
  </r>
  <r>
    <x v="219"/>
    <x v="165"/>
    <x v="0"/>
    <x v="10"/>
    <x v="2"/>
    <x v="2"/>
    <x v="1"/>
    <x v="5"/>
    <x v="2"/>
    <x v="69"/>
    <x v="1"/>
    <x v="4"/>
    <x v="393"/>
    <x v="89"/>
    <x v="392"/>
  </r>
  <r>
    <x v="220"/>
    <x v="166"/>
    <x v="0"/>
    <x v="10"/>
    <x v="3"/>
    <x v="3"/>
    <x v="6"/>
    <x v="2"/>
    <x v="37"/>
    <x v="3"/>
    <x v="0"/>
    <x v="1"/>
    <x v="352"/>
    <x v="84"/>
    <x v="453"/>
  </r>
  <r>
    <x v="221"/>
    <x v="167"/>
    <x v="0"/>
    <x v="10"/>
    <x v="1"/>
    <x v="0"/>
    <x v="10"/>
    <x v="9"/>
    <x v="2"/>
    <x v="202"/>
    <x v="1"/>
    <x v="7"/>
    <x v="595"/>
    <x v="96"/>
    <x v="622"/>
  </r>
  <r>
    <x v="222"/>
    <x v="167"/>
    <x v="0"/>
    <x v="10"/>
    <x v="3"/>
    <x v="3"/>
    <x v="6"/>
    <x v="3"/>
    <x v="33"/>
    <x v="5"/>
    <x v="1"/>
    <x v="1"/>
    <x v="325"/>
    <x v="80"/>
    <x v="404"/>
  </r>
  <r>
    <x v="223"/>
    <x v="167"/>
    <x v="0"/>
    <x v="10"/>
    <x v="0"/>
    <x v="3"/>
    <x v="3"/>
    <x v="1"/>
    <x v="22"/>
    <x v="2"/>
    <x v="2"/>
    <x v="0"/>
    <x v="107"/>
    <x v="30"/>
    <x v="143"/>
  </r>
  <r>
    <x v="224"/>
    <x v="167"/>
    <x v="0"/>
    <x v="10"/>
    <x v="1"/>
    <x v="2"/>
    <x v="7"/>
    <x v="4"/>
    <x v="1"/>
    <x v="133"/>
    <x v="2"/>
    <x v="5"/>
    <x v="356"/>
    <x v="87"/>
    <x v="306"/>
  </r>
  <r>
    <x v="225"/>
    <x v="168"/>
    <x v="0"/>
    <x v="11"/>
    <x v="2"/>
    <x v="3"/>
    <x v="2"/>
    <x v="0"/>
    <x v="17"/>
    <x v="11"/>
    <x v="1"/>
    <x v="2"/>
    <x v="250"/>
    <x v="66"/>
    <x v="331"/>
  </r>
  <r>
    <x v="226"/>
    <x v="168"/>
    <x v="0"/>
    <x v="11"/>
    <x v="4"/>
    <x v="1"/>
    <x v="8"/>
    <x v="7"/>
    <x v="1"/>
    <x v="350"/>
    <x v="2"/>
    <x v="10"/>
    <x v="631"/>
    <x v="99"/>
    <x v="431"/>
  </r>
  <r>
    <x v="227"/>
    <x v="169"/>
    <x v="0"/>
    <x v="11"/>
    <x v="4"/>
    <x v="2"/>
    <x v="7"/>
    <x v="7"/>
    <x v="2"/>
    <x v="100"/>
    <x v="0"/>
    <x v="5"/>
    <x v="500"/>
    <x v="92"/>
    <x v="525"/>
  </r>
  <r>
    <x v="228"/>
    <x v="170"/>
    <x v="0"/>
    <x v="11"/>
    <x v="1"/>
    <x v="1"/>
    <x v="4"/>
    <x v="9"/>
    <x v="1"/>
    <x v="446"/>
    <x v="2"/>
    <x v="11"/>
    <x v="782"/>
    <x v="103"/>
    <x v="703"/>
  </r>
  <r>
    <x v="229"/>
    <x v="170"/>
    <x v="0"/>
    <x v="11"/>
    <x v="4"/>
    <x v="3"/>
    <x v="3"/>
    <x v="6"/>
    <x v="33"/>
    <x v="1"/>
    <x v="3"/>
    <x v="0"/>
    <x v="151"/>
    <x v="50"/>
    <x v="174"/>
  </r>
  <r>
    <x v="230"/>
    <x v="170"/>
    <x v="0"/>
    <x v="11"/>
    <x v="2"/>
    <x v="3"/>
    <x v="2"/>
    <x v="0"/>
    <x v="18"/>
    <x v="11"/>
    <x v="0"/>
    <x v="2"/>
    <x v="291"/>
    <x v="70"/>
    <x v="408"/>
  </r>
  <r>
    <x v="231"/>
    <x v="171"/>
    <x v="0"/>
    <x v="11"/>
    <x v="3"/>
    <x v="3"/>
    <x v="6"/>
    <x v="3"/>
    <x v="36"/>
    <x v="6"/>
    <x v="2"/>
    <x v="1"/>
    <x v="339"/>
    <x v="83"/>
    <x v="407"/>
  </r>
  <r>
    <x v="232"/>
    <x v="171"/>
    <x v="0"/>
    <x v="11"/>
    <x v="3"/>
    <x v="3"/>
    <x v="6"/>
    <x v="2"/>
    <x v="32"/>
    <x v="7"/>
    <x v="0"/>
    <x v="1"/>
    <x v="342"/>
    <x v="78"/>
    <x v="472"/>
  </r>
  <r>
    <x v="233"/>
    <x v="171"/>
    <x v="0"/>
    <x v="11"/>
    <x v="3"/>
    <x v="0"/>
    <x v="10"/>
    <x v="2"/>
    <x v="1"/>
    <x v="223"/>
    <x v="1"/>
    <x v="7"/>
    <x v="493"/>
    <x v="92"/>
    <x v="504"/>
  </r>
  <r>
    <x v="234"/>
    <x v="172"/>
    <x v="0"/>
    <x v="11"/>
    <x v="4"/>
    <x v="0"/>
    <x v="5"/>
    <x v="6"/>
    <x v="1"/>
    <x v="144"/>
    <x v="1"/>
    <x v="6"/>
    <x v="409"/>
    <x v="90"/>
    <x v="228"/>
  </r>
  <r>
    <x v="235"/>
    <x v="172"/>
    <x v="0"/>
    <x v="11"/>
    <x v="0"/>
    <x v="1"/>
    <x v="11"/>
    <x v="1"/>
    <x v="5"/>
    <x v="47"/>
    <x v="0"/>
    <x v="3"/>
    <x v="438"/>
    <x v="87"/>
    <x v="599"/>
  </r>
  <r>
    <x v="236"/>
    <x v="172"/>
    <x v="0"/>
    <x v="11"/>
    <x v="3"/>
    <x v="1"/>
    <x v="8"/>
    <x v="3"/>
    <x v="2"/>
    <x v="338"/>
    <x v="1"/>
    <x v="10"/>
    <x v="747"/>
    <x v="102"/>
    <x v="663"/>
  </r>
  <r>
    <x v="237"/>
    <x v="173"/>
    <x v="0"/>
    <x v="11"/>
    <x v="4"/>
    <x v="3"/>
    <x v="2"/>
    <x v="7"/>
    <x v="11"/>
    <x v="14"/>
    <x v="1"/>
    <x v="2"/>
    <x v="144"/>
    <x v="40"/>
    <x v="212"/>
  </r>
  <r>
    <x v="238"/>
    <x v="174"/>
    <x v="0"/>
    <x v="11"/>
    <x v="2"/>
    <x v="0"/>
    <x v="10"/>
    <x v="0"/>
    <x v="1"/>
    <x v="261"/>
    <x v="0"/>
    <x v="7"/>
    <x v="520"/>
    <x v="92"/>
    <x v="610"/>
  </r>
  <r>
    <x v="239"/>
    <x v="174"/>
    <x v="0"/>
    <x v="11"/>
    <x v="4"/>
    <x v="3"/>
    <x v="6"/>
    <x v="6"/>
    <x v="12"/>
    <x v="3"/>
    <x v="0"/>
    <x v="1"/>
    <x v="79"/>
    <x v="26"/>
    <x v="112"/>
  </r>
  <r>
    <x v="240"/>
    <x v="175"/>
    <x v="0"/>
    <x v="11"/>
    <x v="2"/>
    <x v="1"/>
    <x v="4"/>
    <x v="0"/>
    <x v="1"/>
    <x v="426"/>
    <x v="1"/>
    <x v="11"/>
    <x v="786"/>
    <x v="103"/>
    <x v="745"/>
  </r>
  <r>
    <x v="241"/>
    <x v="176"/>
    <x v="0"/>
    <x v="11"/>
    <x v="4"/>
    <x v="0"/>
    <x v="5"/>
    <x v="7"/>
    <x v="1"/>
    <x v="151"/>
    <x v="3"/>
    <x v="6"/>
    <x v="387"/>
    <x v="90"/>
    <x v="93"/>
  </r>
  <r>
    <x v="242"/>
    <x v="176"/>
    <x v="0"/>
    <x v="11"/>
    <x v="2"/>
    <x v="3"/>
    <x v="2"/>
    <x v="0"/>
    <x v="8"/>
    <x v="12"/>
    <x v="1"/>
    <x v="2"/>
    <x v="95"/>
    <x v="28"/>
    <x v="136"/>
  </r>
  <r>
    <x v="243"/>
    <x v="177"/>
    <x v="0"/>
    <x v="11"/>
    <x v="0"/>
    <x v="2"/>
    <x v="7"/>
    <x v="8"/>
    <x v="4"/>
    <x v="134"/>
    <x v="1"/>
    <x v="5"/>
    <x v="646"/>
    <x v="98"/>
    <x v="707"/>
  </r>
  <r>
    <x v="244"/>
    <x v="178"/>
    <x v="0"/>
    <x v="11"/>
    <x v="4"/>
    <x v="2"/>
    <x v="1"/>
    <x v="6"/>
    <x v="0"/>
    <x v="49"/>
    <x v="3"/>
    <x v="4"/>
    <x v="70"/>
    <x v="37"/>
    <x v="17"/>
  </r>
  <r>
    <x v="245"/>
    <x v="179"/>
    <x v="0"/>
    <x v="11"/>
    <x v="2"/>
    <x v="0"/>
    <x v="5"/>
    <x v="0"/>
    <x v="1"/>
    <x v="147"/>
    <x v="3"/>
    <x v="6"/>
    <x v="382"/>
    <x v="90"/>
    <x v="79"/>
  </r>
  <r>
    <x v="246"/>
    <x v="180"/>
    <x v="0"/>
    <x v="11"/>
    <x v="4"/>
    <x v="2"/>
    <x v="1"/>
    <x v="6"/>
    <x v="0"/>
    <x v="79"/>
    <x v="0"/>
    <x v="4"/>
    <x v="117"/>
    <x v="37"/>
    <x v="126"/>
  </r>
  <r>
    <x v="247"/>
    <x v="180"/>
    <x v="0"/>
    <x v="11"/>
    <x v="1"/>
    <x v="3"/>
    <x v="3"/>
    <x v="4"/>
    <x v="36"/>
    <x v="2"/>
    <x v="2"/>
    <x v="0"/>
    <x v="197"/>
    <x v="55"/>
    <x v="263"/>
  </r>
  <r>
    <x v="248"/>
    <x v="181"/>
    <x v="0"/>
    <x v="11"/>
    <x v="1"/>
    <x v="0"/>
    <x v="10"/>
    <x v="4"/>
    <x v="0"/>
    <x v="260"/>
    <x v="0"/>
    <x v="7"/>
    <x v="318"/>
    <x v="82"/>
    <x v="333"/>
  </r>
  <r>
    <x v="249"/>
    <x v="181"/>
    <x v="0"/>
    <x v="11"/>
    <x v="4"/>
    <x v="1"/>
    <x v="8"/>
    <x v="6"/>
    <x v="0"/>
    <x v="387"/>
    <x v="0"/>
    <x v="10"/>
    <x v="476"/>
    <x v="92"/>
    <x v="441"/>
  </r>
  <r>
    <x v="250"/>
    <x v="181"/>
    <x v="0"/>
    <x v="11"/>
    <x v="0"/>
    <x v="1"/>
    <x v="8"/>
    <x v="1"/>
    <x v="1"/>
    <x v="384"/>
    <x v="1"/>
    <x v="10"/>
    <x v="665"/>
    <x v="99"/>
    <x v="618"/>
  </r>
  <r>
    <x v="251"/>
    <x v="181"/>
    <x v="0"/>
    <x v="11"/>
    <x v="3"/>
    <x v="3"/>
    <x v="2"/>
    <x v="3"/>
    <x v="8"/>
    <x v="9"/>
    <x v="1"/>
    <x v="2"/>
    <x v="86"/>
    <x v="28"/>
    <x v="114"/>
  </r>
  <r>
    <x v="252"/>
    <x v="182"/>
    <x v="0"/>
    <x v="11"/>
    <x v="0"/>
    <x v="0"/>
    <x v="0"/>
    <x v="1"/>
    <x v="0"/>
    <x v="219"/>
    <x v="2"/>
    <x v="8"/>
    <x v="257"/>
    <x v="84"/>
    <x v="138"/>
  </r>
  <r>
    <x v="253"/>
    <x v="182"/>
    <x v="0"/>
    <x v="11"/>
    <x v="4"/>
    <x v="2"/>
    <x v="9"/>
    <x v="6"/>
    <x v="0"/>
    <x v="300"/>
    <x v="1"/>
    <x v="9"/>
    <x v="361"/>
    <x v="88"/>
    <x v="281"/>
  </r>
  <r>
    <x v="254"/>
    <x v="183"/>
    <x v="0"/>
    <x v="11"/>
    <x v="3"/>
    <x v="2"/>
    <x v="1"/>
    <x v="3"/>
    <x v="1"/>
    <x v="79"/>
    <x v="1"/>
    <x v="4"/>
    <x v="276"/>
    <x v="79"/>
    <x v="259"/>
  </r>
  <r>
    <x v="255"/>
    <x v="183"/>
    <x v="0"/>
    <x v="11"/>
    <x v="4"/>
    <x v="3"/>
    <x v="2"/>
    <x v="7"/>
    <x v="5"/>
    <x v="12"/>
    <x v="0"/>
    <x v="2"/>
    <x v="54"/>
    <x v="16"/>
    <x v="82"/>
  </r>
  <r>
    <x v="256"/>
    <x v="184"/>
    <x v="0"/>
    <x v="11"/>
    <x v="3"/>
    <x v="2"/>
    <x v="7"/>
    <x v="3"/>
    <x v="1"/>
    <x v="138"/>
    <x v="0"/>
    <x v="5"/>
    <x v="401"/>
    <x v="87"/>
    <x v="457"/>
  </r>
  <r>
    <x v="257"/>
    <x v="184"/>
    <x v="0"/>
    <x v="11"/>
    <x v="4"/>
    <x v="1"/>
    <x v="8"/>
    <x v="6"/>
    <x v="1"/>
    <x v="404"/>
    <x v="3"/>
    <x v="10"/>
    <x v="632"/>
    <x v="99"/>
    <x v="445"/>
  </r>
  <r>
    <x v="258"/>
    <x v="185"/>
    <x v="0"/>
    <x v="11"/>
    <x v="4"/>
    <x v="1"/>
    <x v="8"/>
    <x v="6"/>
    <x v="2"/>
    <x v="351"/>
    <x v="3"/>
    <x v="10"/>
    <x v="738"/>
    <x v="102"/>
    <x v="416"/>
  </r>
  <r>
    <x v="259"/>
    <x v="186"/>
    <x v="0"/>
    <x v="11"/>
    <x v="0"/>
    <x v="2"/>
    <x v="1"/>
    <x v="8"/>
    <x v="2"/>
    <x v="53"/>
    <x v="0"/>
    <x v="4"/>
    <x v="397"/>
    <x v="89"/>
    <x v="409"/>
  </r>
  <r>
    <x v="260"/>
    <x v="187"/>
    <x v="1"/>
    <x v="0"/>
    <x v="4"/>
    <x v="0"/>
    <x v="10"/>
    <x v="7"/>
    <x v="1"/>
    <x v="202"/>
    <x v="1"/>
    <x v="7"/>
    <x v="483"/>
    <x v="92"/>
    <x v="466"/>
  </r>
  <r>
    <x v="261"/>
    <x v="188"/>
    <x v="1"/>
    <x v="0"/>
    <x v="2"/>
    <x v="2"/>
    <x v="7"/>
    <x v="5"/>
    <x v="0"/>
    <x v="99"/>
    <x v="2"/>
    <x v="5"/>
    <x v="136"/>
    <x v="56"/>
    <x v="69"/>
  </r>
  <r>
    <x v="262"/>
    <x v="189"/>
    <x v="1"/>
    <x v="0"/>
    <x v="3"/>
    <x v="3"/>
    <x v="3"/>
    <x v="3"/>
    <x v="40"/>
    <x v="0"/>
    <x v="1"/>
    <x v="0"/>
    <x v="233"/>
    <x v="63"/>
    <x v="301"/>
  </r>
  <r>
    <x v="263"/>
    <x v="190"/>
    <x v="1"/>
    <x v="0"/>
    <x v="0"/>
    <x v="2"/>
    <x v="7"/>
    <x v="1"/>
    <x v="4"/>
    <x v="134"/>
    <x v="0"/>
    <x v="5"/>
    <x v="670"/>
    <x v="98"/>
    <x v="735"/>
  </r>
  <r>
    <x v="264"/>
    <x v="190"/>
    <x v="1"/>
    <x v="0"/>
    <x v="2"/>
    <x v="1"/>
    <x v="11"/>
    <x v="5"/>
    <x v="5"/>
    <x v="24"/>
    <x v="0"/>
    <x v="3"/>
    <x v="416"/>
    <x v="87"/>
    <x v="530"/>
  </r>
  <r>
    <x v="265"/>
    <x v="191"/>
    <x v="1"/>
    <x v="0"/>
    <x v="2"/>
    <x v="2"/>
    <x v="9"/>
    <x v="0"/>
    <x v="0"/>
    <x v="325"/>
    <x v="1"/>
    <x v="9"/>
    <x v="378"/>
    <x v="88"/>
    <x v="355"/>
  </r>
  <r>
    <x v="266"/>
    <x v="191"/>
    <x v="1"/>
    <x v="0"/>
    <x v="1"/>
    <x v="2"/>
    <x v="9"/>
    <x v="9"/>
    <x v="0"/>
    <x v="322"/>
    <x v="3"/>
    <x v="9"/>
    <x v="346"/>
    <x v="88"/>
    <x v="186"/>
  </r>
  <r>
    <x v="267"/>
    <x v="192"/>
    <x v="1"/>
    <x v="0"/>
    <x v="1"/>
    <x v="2"/>
    <x v="1"/>
    <x v="4"/>
    <x v="3"/>
    <x v="70"/>
    <x v="1"/>
    <x v="4"/>
    <x v="477"/>
    <x v="91"/>
    <x v="514"/>
  </r>
  <r>
    <x v="268"/>
    <x v="192"/>
    <x v="1"/>
    <x v="0"/>
    <x v="2"/>
    <x v="1"/>
    <x v="11"/>
    <x v="5"/>
    <x v="2"/>
    <x v="23"/>
    <x v="0"/>
    <x v="3"/>
    <x v="194"/>
    <x v="56"/>
    <x v="246"/>
  </r>
  <r>
    <x v="269"/>
    <x v="192"/>
    <x v="1"/>
    <x v="0"/>
    <x v="3"/>
    <x v="1"/>
    <x v="4"/>
    <x v="3"/>
    <x v="0"/>
    <x v="486"/>
    <x v="2"/>
    <x v="11"/>
    <x v="694"/>
    <x v="101"/>
    <x v="569"/>
  </r>
  <r>
    <x v="270"/>
    <x v="193"/>
    <x v="1"/>
    <x v="0"/>
    <x v="2"/>
    <x v="1"/>
    <x v="11"/>
    <x v="5"/>
    <x v="4"/>
    <x v="27"/>
    <x v="0"/>
    <x v="3"/>
    <x v="367"/>
    <x v="86"/>
    <x v="471"/>
  </r>
  <r>
    <x v="271"/>
    <x v="193"/>
    <x v="1"/>
    <x v="0"/>
    <x v="3"/>
    <x v="1"/>
    <x v="4"/>
    <x v="3"/>
    <x v="0"/>
    <x v="457"/>
    <x v="1"/>
    <x v="11"/>
    <x v="702"/>
    <x v="101"/>
    <x v="609"/>
  </r>
  <r>
    <x v="272"/>
    <x v="194"/>
    <x v="1"/>
    <x v="0"/>
    <x v="0"/>
    <x v="3"/>
    <x v="6"/>
    <x v="8"/>
    <x v="20"/>
    <x v="3"/>
    <x v="1"/>
    <x v="1"/>
    <x v="150"/>
    <x v="47"/>
    <x v="182"/>
  </r>
  <r>
    <x v="273"/>
    <x v="195"/>
    <x v="1"/>
    <x v="0"/>
    <x v="2"/>
    <x v="3"/>
    <x v="2"/>
    <x v="0"/>
    <x v="16"/>
    <x v="12"/>
    <x v="1"/>
    <x v="2"/>
    <x v="241"/>
    <x v="61"/>
    <x v="321"/>
  </r>
  <r>
    <x v="274"/>
    <x v="196"/>
    <x v="1"/>
    <x v="0"/>
    <x v="2"/>
    <x v="0"/>
    <x v="0"/>
    <x v="0"/>
    <x v="0"/>
    <x v="250"/>
    <x v="1"/>
    <x v="8"/>
    <x v="290"/>
    <x v="84"/>
    <x v="215"/>
  </r>
  <r>
    <x v="275"/>
    <x v="197"/>
    <x v="1"/>
    <x v="0"/>
    <x v="2"/>
    <x v="0"/>
    <x v="5"/>
    <x v="0"/>
    <x v="2"/>
    <x v="165"/>
    <x v="1"/>
    <x v="6"/>
    <x v="536"/>
    <x v="94"/>
    <x v="462"/>
  </r>
  <r>
    <x v="276"/>
    <x v="198"/>
    <x v="1"/>
    <x v="0"/>
    <x v="3"/>
    <x v="3"/>
    <x v="3"/>
    <x v="3"/>
    <x v="8"/>
    <x v="2"/>
    <x v="0"/>
    <x v="0"/>
    <x v="25"/>
    <x v="6"/>
    <x v="36"/>
  </r>
  <r>
    <x v="277"/>
    <x v="199"/>
    <x v="1"/>
    <x v="0"/>
    <x v="4"/>
    <x v="0"/>
    <x v="0"/>
    <x v="7"/>
    <x v="0"/>
    <x v="220"/>
    <x v="0"/>
    <x v="8"/>
    <x v="295"/>
    <x v="84"/>
    <x v="232"/>
  </r>
  <r>
    <x v="278"/>
    <x v="199"/>
    <x v="1"/>
    <x v="0"/>
    <x v="4"/>
    <x v="1"/>
    <x v="4"/>
    <x v="6"/>
    <x v="0"/>
    <x v="477"/>
    <x v="1"/>
    <x v="11"/>
    <x v="716"/>
    <x v="101"/>
    <x v="652"/>
  </r>
  <r>
    <x v="279"/>
    <x v="200"/>
    <x v="1"/>
    <x v="0"/>
    <x v="3"/>
    <x v="2"/>
    <x v="9"/>
    <x v="2"/>
    <x v="0"/>
    <x v="284"/>
    <x v="3"/>
    <x v="9"/>
    <x v="329"/>
    <x v="88"/>
    <x v="98"/>
  </r>
  <r>
    <x v="280"/>
    <x v="201"/>
    <x v="1"/>
    <x v="0"/>
    <x v="4"/>
    <x v="1"/>
    <x v="4"/>
    <x v="6"/>
    <x v="0"/>
    <x v="460"/>
    <x v="2"/>
    <x v="11"/>
    <x v="686"/>
    <x v="101"/>
    <x v="513"/>
  </r>
  <r>
    <x v="281"/>
    <x v="201"/>
    <x v="1"/>
    <x v="0"/>
    <x v="2"/>
    <x v="2"/>
    <x v="9"/>
    <x v="5"/>
    <x v="2"/>
    <x v="296"/>
    <x v="3"/>
    <x v="9"/>
    <x v="656"/>
    <x v="100"/>
    <x v="517"/>
  </r>
  <r>
    <x v="282"/>
    <x v="201"/>
    <x v="1"/>
    <x v="0"/>
    <x v="2"/>
    <x v="3"/>
    <x v="3"/>
    <x v="5"/>
    <x v="39"/>
    <x v="2"/>
    <x v="1"/>
    <x v="0"/>
    <x v="245"/>
    <x v="60"/>
    <x v="354"/>
  </r>
  <r>
    <x v="283"/>
    <x v="202"/>
    <x v="1"/>
    <x v="0"/>
    <x v="0"/>
    <x v="2"/>
    <x v="9"/>
    <x v="1"/>
    <x v="1"/>
    <x v="288"/>
    <x v="0"/>
    <x v="9"/>
    <x v="567"/>
    <x v="95"/>
    <x v="584"/>
  </r>
  <r>
    <x v="284"/>
    <x v="203"/>
    <x v="1"/>
    <x v="0"/>
    <x v="4"/>
    <x v="2"/>
    <x v="9"/>
    <x v="6"/>
    <x v="0"/>
    <x v="307"/>
    <x v="0"/>
    <x v="9"/>
    <x v="388"/>
    <x v="88"/>
    <x v="377"/>
  </r>
  <r>
    <x v="285"/>
    <x v="203"/>
    <x v="1"/>
    <x v="0"/>
    <x v="0"/>
    <x v="1"/>
    <x v="11"/>
    <x v="8"/>
    <x v="1"/>
    <x v="35"/>
    <x v="3"/>
    <x v="3"/>
    <x v="93"/>
    <x v="34"/>
    <x v="85"/>
  </r>
  <r>
    <x v="286"/>
    <x v="203"/>
    <x v="1"/>
    <x v="0"/>
    <x v="0"/>
    <x v="0"/>
    <x v="5"/>
    <x v="8"/>
    <x v="2"/>
    <x v="179"/>
    <x v="0"/>
    <x v="6"/>
    <x v="557"/>
    <x v="94"/>
    <x v="578"/>
  </r>
  <r>
    <x v="287"/>
    <x v="204"/>
    <x v="1"/>
    <x v="1"/>
    <x v="1"/>
    <x v="1"/>
    <x v="4"/>
    <x v="9"/>
    <x v="0"/>
    <x v="442"/>
    <x v="0"/>
    <x v="11"/>
    <x v="720"/>
    <x v="101"/>
    <x v="673"/>
  </r>
  <r>
    <x v="288"/>
    <x v="205"/>
    <x v="1"/>
    <x v="1"/>
    <x v="4"/>
    <x v="2"/>
    <x v="7"/>
    <x v="6"/>
    <x v="0"/>
    <x v="89"/>
    <x v="1"/>
    <x v="5"/>
    <x v="141"/>
    <x v="56"/>
    <x v="96"/>
  </r>
  <r>
    <x v="289"/>
    <x v="206"/>
    <x v="1"/>
    <x v="1"/>
    <x v="3"/>
    <x v="0"/>
    <x v="0"/>
    <x v="2"/>
    <x v="1"/>
    <x v="211"/>
    <x v="0"/>
    <x v="8"/>
    <x v="504"/>
    <x v="93"/>
    <x v="507"/>
  </r>
  <r>
    <x v="290"/>
    <x v="207"/>
    <x v="1"/>
    <x v="1"/>
    <x v="4"/>
    <x v="1"/>
    <x v="11"/>
    <x v="6"/>
    <x v="1"/>
    <x v="15"/>
    <x v="2"/>
    <x v="3"/>
    <x v="91"/>
    <x v="34"/>
    <x v="83"/>
  </r>
  <r>
    <x v="291"/>
    <x v="208"/>
    <x v="1"/>
    <x v="1"/>
    <x v="1"/>
    <x v="3"/>
    <x v="6"/>
    <x v="9"/>
    <x v="8"/>
    <x v="4"/>
    <x v="1"/>
    <x v="1"/>
    <x v="50"/>
    <x v="15"/>
    <x v="50"/>
  </r>
  <r>
    <x v="292"/>
    <x v="208"/>
    <x v="1"/>
    <x v="1"/>
    <x v="3"/>
    <x v="1"/>
    <x v="4"/>
    <x v="2"/>
    <x v="1"/>
    <x v="419"/>
    <x v="1"/>
    <x v="11"/>
    <x v="783"/>
    <x v="103"/>
    <x v="733"/>
  </r>
  <r>
    <x v="293"/>
    <x v="208"/>
    <x v="1"/>
    <x v="1"/>
    <x v="4"/>
    <x v="1"/>
    <x v="8"/>
    <x v="7"/>
    <x v="0"/>
    <x v="367"/>
    <x v="0"/>
    <x v="10"/>
    <x v="466"/>
    <x v="92"/>
    <x v="412"/>
  </r>
  <r>
    <x v="294"/>
    <x v="208"/>
    <x v="1"/>
    <x v="1"/>
    <x v="4"/>
    <x v="1"/>
    <x v="8"/>
    <x v="6"/>
    <x v="2"/>
    <x v="367"/>
    <x v="0"/>
    <x v="10"/>
    <x v="768"/>
    <x v="102"/>
    <x v="751"/>
  </r>
  <r>
    <x v="295"/>
    <x v="208"/>
    <x v="1"/>
    <x v="1"/>
    <x v="2"/>
    <x v="0"/>
    <x v="5"/>
    <x v="5"/>
    <x v="2"/>
    <x v="159"/>
    <x v="0"/>
    <x v="6"/>
    <x v="545"/>
    <x v="94"/>
    <x v="527"/>
  </r>
  <r>
    <x v="296"/>
    <x v="209"/>
    <x v="1"/>
    <x v="1"/>
    <x v="1"/>
    <x v="0"/>
    <x v="10"/>
    <x v="9"/>
    <x v="2"/>
    <x v="251"/>
    <x v="3"/>
    <x v="7"/>
    <x v="574"/>
    <x v="96"/>
    <x v="539"/>
  </r>
  <r>
    <x v="297"/>
    <x v="209"/>
    <x v="1"/>
    <x v="1"/>
    <x v="4"/>
    <x v="3"/>
    <x v="2"/>
    <x v="7"/>
    <x v="12"/>
    <x v="13"/>
    <x v="3"/>
    <x v="2"/>
    <x v="139"/>
    <x v="43"/>
    <x v="158"/>
  </r>
  <r>
    <x v="298"/>
    <x v="210"/>
    <x v="1"/>
    <x v="1"/>
    <x v="2"/>
    <x v="3"/>
    <x v="2"/>
    <x v="0"/>
    <x v="13"/>
    <x v="9"/>
    <x v="1"/>
    <x v="2"/>
    <x v="159"/>
    <x v="49"/>
    <x v="208"/>
  </r>
  <r>
    <x v="299"/>
    <x v="211"/>
    <x v="1"/>
    <x v="1"/>
    <x v="3"/>
    <x v="0"/>
    <x v="0"/>
    <x v="2"/>
    <x v="0"/>
    <x v="276"/>
    <x v="0"/>
    <x v="8"/>
    <x v="328"/>
    <x v="84"/>
    <x v="335"/>
  </r>
  <r>
    <x v="300"/>
    <x v="211"/>
    <x v="1"/>
    <x v="1"/>
    <x v="4"/>
    <x v="0"/>
    <x v="0"/>
    <x v="7"/>
    <x v="2"/>
    <x v="263"/>
    <x v="1"/>
    <x v="8"/>
    <x v="615"/>
    <x v="97"/>
    <x v="659"/>
  </r>
  <r>
    <x v="301"/>
    <x v="211"/>
    <x v="1"/>
    <x v="1"/>
    <x v="2"/>
    <x v="2"/>
    <x v="7"/>
    <x v="5"/>
    <x v="2"/>
    <x v="115"/>
    <x v="1"/>
    <x v="5"/>
    <x v="491"/>
    <x v="92"/>
    <x v="496"/>
  </r>
  <r>
    <x v="302"/>
    <x v="212"/>
    <x v="1"/>
    <x v="1"/>
    <x v="3"/>
    <x v="3"/>
    <x v="3"/>
    <x v="2"/>
    <x v="19"/>
    <x v="0"/>
    <x v="1"/>
    <x v="0"/>
    <x v="76"/>
    <x v="25"/>
    <x v="109"/>
  </r>
  <r>
    <x v="303"/>
    <x v="212"/>
    <x v="1"/>
    <x v="1"/>
    <x v="1"/>
    <x v="3"/>
    <x v="3"/>
    <x v="4"/>
    <x v="15"/>
    <x v="2"/>
    <x v="0"/>
    <x v="0"/>
    <x v="65"/>
    <x v="19"/>
    <x v="116"/>
  </r>
  <r>
    <x v="304"/>
    <x v="213"/>
    <x v="1"/>
    <x v="1"/>
    <x v="2"/>
    <x v="2"/>
    <x v="7"/>
    <x v="0"/>
    <x v="0"/>
    <x v="138"/>
    <x v="0"/>
    <x v="5"/>
    <x v="170"/>
    <x v="56"/>
    <x v="190"/>
  </r>
  <r>
    <x v="305"/>
    <x v="213"/>
    <x v="1"/>
    <x v="1"/>
    <x v="2"/>
    <x v="0"/>
    <x v="10"/>
    <x v="5"/>
    <x v="0"/>
    <x v="235"/>
    <x v="0"/>
    <x v="7"/>
    <x v="304"/>
    <x v="82"/>
    <x v="300"/>
  </r>
  <r>
    <x v="306"/>
    <x v="214"/>
    <x v="1"/>
    <x v="1"/>
    <x v="3"/>
    <x v="3"/>
    <x v="2"/>
    <x v="3"/>
    <x v="1"/>
    <x v="12"/>
    <x v="0"/>
    <x v="2"/>
    <x v="0"/>
    <x v="0"/>
    <x v="1"/>
  </r>
  <r>
    <x v="307"/>
    <x v="215"/>
    <x v="1"/>
    <x v="1"/>
    <x v="1"/>
    <x v="3"/>
    <x v="3"/>
    <x v="4"/>
    <x v="37"/>
    <x v="0"/>
    <x v="1"/>
    <x v="0"/>
    <x v="201"/>
    <x v="57"/>
    <x v="262"/>
  </r>
  <r>
    <x v="308"/>
    <x v="216"/>
    <x v="1"/>
    <x v="1"/>
    <x v="4"/>
    <x v="1"/>
    <x v="4"/>
    <x v="6"/>
    <x v="1"/>
    <x v="487"/>
    <x v="1"/>
    <x v="11"/>
    <x v="802"/>
    <x v="103"/>
    <x v="769"/>
  </r>
  <r>
    <x v="309"/>
    <x v="217"/>
    <x v="1"/>
    <x v="1"/>
    <x v="2"/>
    <x v="2"/>
    <x v="7"/>
    <x v="5"/>
    <x v="0"/>
    <x v="130"/>
    <x v="0"/>
    <x v="5"/>
    <x v="166"/>
    <x v="56"/>
    <x v="179"/>
  </r>
  <r>
    <x v="310"/>
    <x v="217"/>
    <x v="1"/>
    <x v="1"/>
    <x v="3"/>
    <x v="1"/>
    <x v="11"/>
    <x v="2"/>
    <x v="0"/>
    <x v="40"/>
    <x v="0"/>
    <x v="3"/>
    <x v="46"/>
    <x v="13"/>
    <x v="54"/>
  </r>
  <r>
    <x v="311"/>
    <x v="218"/>
    <x v="1"/>
    <x v="2"/>
    <x v="4"/>
    <x v="1"/>
    <x v="4"/>
    <x v="7"/>
    <x v="0"/>
    <x v="414"/>
    <x v="0"/>
    <x v="11"/>
    <x v="705"/>
    <x v="101"/>
    <x v="619"/>
  </r>
  <r>
    <x v="312"/>
    <x v="219"/>
    <x v="1"/>
    <x v="2"/>
    <x v="4"/>
    <x v="1"/>
    <x v="11"/>
    <x v="7"/>
    <x v="4"/>
    <x v="25"/>
    <x v="2"/>
    <x v="3"/>
    <x v="340"/>
    <x v="86"/>
    <x v="359"/>
  </r>
  <r>
    <x v="313"/>
    <x v="220"/>
    <x v="1"/>
    <x v="2"/>
    <x v="3"/>
    <x v="2"/>
    <x v="9"/>
    <x v="2"/>
    <x v="0"/>
    <x v="293"/>
    <x v="3"/>
    <x v="9"/>
    <x v="335"/>
    <x v="88"/>
    <x v="122"/>
  </r>
  <r>
    <x v="314"/>
    <x v="220"/>
    <x v="1"/>
    <x v="2"/>
    <x v="3"/>
    <x v="1"/>
    <x v="4"/>
    <x v="3"/>
    <x v="0"/>
    <x v="437"/>
    <x v="1"/>
    <x v="11"/>
    <x v="693"/>
    <x v="101"/>
    <x v="567"/>
  </r>
  <r>
    <x v="315"/>
    <x v="220"/>
    <x v="1"/>
    <x v="2"/>
    <x v="3"/>
    <x v="0"/>
    <x v="5"/>
    <x v="2"/>
    <x v="2"/>
    <x v="147"/>
    <x v="1"/>
    <x v="6"/>
    <x v="530"/>
    <x v="94"/>
    <x v="410"/>
  </r>
  <r>
    <x v="316"/>
    <x v="221"/>
    <x v="1"/>
    <x v="2"/>
    <x v="3"/>
    <x v="2"/>
    <x v="9"/>
    <x v="3"/>
    <x v="1"/>
    <x v="317"/>
    <x v="0"/>
    <x v="9"/>
    <x v="587"/>
    <x v="95"/>
    <x v="661"/>
  </r>
  <r>
    <x v="317"/>
    <x v="221"/>
    <x v="1"/>
    <x v="2"/>
    <x v="0"/>
    <x v="3"/>
    <x v="6"/>
    <x v="8"/>
    <x v="38"/>
    <x v="7"/>
    <x v="3"/>
    <x v="1"/>
    <x v="344"/>
    <x v="85"/>
    <x v="389"/>
  </r>
  <r>
    <x v="318"/>
    <x v="222"/>
    <x v="1"/>
    <x v="2"/>
    <x v="4"/>
    <x v="1"/>
    <x v="4"/>
    <x v="7"/>
    <x v="0"/>
    <x v="491"/>
    <x v="1"/>
    <x v="11"/>
    <x v="727"/>
    <x v="101"/>
    <x v="683"/>
  </r>
  <r>
    <x v="319"/>
    <x v="223"/>
    <x v="1"/>
    <x v="2"/>
    <x v="3"/>
    <x v="1"/>
    <x v="4"/>
    <x v="3"/>
    <x v="0"/>
    <x v="471"/>
    <x v="1"/>
    <x v="11"/>
    <x v="711"/>
    <x v="101"/>
    <x v="635"/>
  </r>
  <r>
    <x v="320"/>
    <x v="224"/>
    <x v="1"/>
    <x v="2"/>
    <x v="4"/>
    <x v="1"/>
    <x v="8"/>
    <x v="6"/>
    <x v="2"/>
    <x v="352"/>
    <x v="1"/>
    <x v="10"/>
    <x v="753"/>
    <x v="102"/>
    <x v="690"/>
  </r>
  <r>
    <x v="321"/>
    <x v="225"/>
    <x v="1"/>
    <x v="2"/>
    <x v="4"/>
    <x v="1"/>
    <x v="4"/>
    <x v="7"/>
    <x v="0"/>
    <x v="425"/>
    <x v="0"/>
    <x v="11"/>
    <x v="712"/>
    <x v="101"/>
    <x v="638"/>
  </r>
  <r>
    <x v="322"/>
    <x v="225"/>
    <x v="1"/>
    <x v="2"/>
    <x v="3"/>
    <x v="3"/>
    <x v="3"/>
    <x v="3"/>
    <x v="8"/>
    <x v="2"/>
    <x v="1"/>
    <x v="0"/>
    <x v="21"/>
    <x v="6"/>
    <x v="27"/>
  </r>
  <r>
    <x v="323"/>
    <x v="226"/>
    <x v="1"/>
    <x v="2"/>
    <x v="4"/>
    <x v="2"/>
    <x v="9"/>
    <x v="7"/>
    <x v="1"/>
    <x v="292"/>
    <x v="0"/>
    <x v="9"/>
    <x v="570"/>
    <x v="95"/>
    <x v="608"/>
  </r>
  <r>
    <x v="324"/>
    <x v="226"/>
    <x v="1"/>
    <x v="2"/>
    <x v="3"/>
    <x v="1"/>
    <x v="11"/>
    <x v="2"/>
    <x v="1"/>
    <x v="22"/>
    <x v="3"/>
    <x v="3"/>
    <x v="85"/>
    <x v="34"/>
    <x v="65"/>
  </r>
  <r>
    <x v="325"/>
    <x v="226"/>
    <x v="1"/>
    <x v="2"/>
    <x v="4"/>
    <x v="3"/>
    <x v="3"/>
    <x v="7"/>
    <x v="13"/>
    <x v="2"/>
    <x v="0"/>
    <x v="0"/>
    <x v="55"/>
    <x v="14"/>
    <x v="90"/>
  </r>
  <r>
    <x v="326"/>
    <x v="227"/>
    <x v="1"/>
    <x v="2"/>
    <x v="1"/>
    <x v="1"/>
    <x v="11"/>
    <x v="9"/>
    <x v="5"/>
    <x v="29"/>
    <x v="3"/>
    <x v="3"/>
    <x v="376"/>
    <x v="87"/>
    <x v="379"/>
  </r>
  <r>
    <x v="327"/>
    <x v="227"/>
    <x v="1"/>
    <x v="2"/>
    <x v="3"/>
    <x v="2"/>
    <x v="9"/>
    <x v="3"/>
    <x v="1"/>
    <x v="323"/>
    <x v="0"/>
    <x v="9"/>
    <x v="593"/>
    <x v="95"/>
    <x v="675"/>
  </r>
  <r>
    <x v="328"/>
    <x v="228"/>
    <x v="1"/>
    <x v="2"/>
    <x v="1"/>
    <x v="1"/>
    <x v="4"/>
    <x v="9"/>
    <x v="0"/>
    <x v="444"/>
    <x v="1"/>
    <x v="11"/>
    <x v="698"/>
    <x v="101"/>
    <x v="582"/>
  </r>
  <r>
    <x v="329"/>
    <x v="228"/>
    <x v="1"/>
    <x v="2"/>
    <x v="2"/>
    <x v="1"/>
    <x v="8"/>
    <x v="0"/>
    <x v="0"/>
    <x v="403"/>
    <x v="1"/>
    <x v="10"/>
    <x v="460"/>
    <x v="92"/>
    <x v="388"/>
  </r>
  <r>
    <x v="330"/>
    <x v="229"/>
    <x v="1"/>
    <x v="2"/>
    <x v="3"/>
    <x v="3"/>
    <x v="3"/>
    <x v="3"/>
    <x v="31"/>
    <x v="2"/>
    <x v="0"/>
    <x v="0"/>
    <x v="184"/>
    <x v="46"/>
    <x v="307"/>
  </r>
  <r>
    <x v="331"/>
    <x v="230"/>
    <x v="1"/>
    <x v="2"/>
    <x v="3"/>
    <x v="1"/>
    <x v="11"/>
    <x v="2"/>
    <x v="4"/>
    <x v="45"/>
    <x v="1"/>
    <x v="3"/>
    <x v="369"/>
    <x v="86"/>
    <x v="475"/>
  </r>
  <r>
    <x v="332"/>
    <x v="231"/>
    <x v="1"/>
    <x v="3"/>
    <x v="2"/>
    <x v="3"/>
    <x v="6"/>
    <x v="5"/>
    <x v="4"/>
    <x v="7"/>
    <x v="3"/>
    <x v="1"/>
    <x v="8"/>
    <x v="4"/>
    <x v="7"/>
  </r>
  <r>
    <x v="333"/>
    <x v="232"/>
    <x v="1"/>
    <x v="3"/>
    <x v="0"/>
    <x v="1"/>
    <x v="8"/>
    <x v="8"/>
    <x v="2"/>
    <x v="403"/>
    <x v="0"/>
    <x v="10"/>
    <x v="774"/>
    <x v="102"/>
    <x v="761"/>
  </r>
  <r>
    <x v="334"/>
    <x v="232"/>
    <x v="1"/>
    <x v="3"/>
    <x v="1"/>
    <x v="2"/>
    <x v="1"/>
    <x v="4"/>
    <x v="1"/>
    <x v="73"/>
    <x v="0"/>
    <x v="4"/>
    <x v="289"/>
    <x v="79"/>
    <x v="308"/>
  </r>
  <r>
    <x v="335"/>
    <x v="233"/>
    <x v="1"/>
    <x v="3"/>
    <x v="3"/>
    <x v="2"/>
    <x v="7"/>
    <x v="3"/>
    <x v="1"/>
    <x v="97"/>
    <x v="1"/>
    <x v="5"/>
    <x v="353"/>
    <x v="87"/>
    <x v="272"/>
  </r>
  <r>
    <x v="336"/>
    <x v="234"/>
    <x v="1"/>
    <x v="3"/>
    <x v="4"/>
    <x v="1"/>
    <x v="4"/>
    <x v="7"/>
    <x v="0"/>
    <x v="448"/>
    <x v="2"/>
    <x v="11"/>
    <x v="680"/>
    <x v="101"/>
    <x v="470"/>
  </r>
  <r>
    <x v="337"/>
    <x v="235"/>
    <x v="1"/>
    <x v="3"/>
    <x v="3"/>
    <x v="3"/>
    <x v="3"/>
    <x v="3"/>
    <x v="23"/>
    <x v="2"/>
    <x v="1"/>
    <x v="0"/>
    <x v="123"/>
    <x v="33"/>
    <x v="173"/>
  </r>
  <r>
    <x v="338"/>
    <x v="236"/>
    <x v="1"/>
    <x v="3"/>
    <x v="2"/>
    <x v="3"/>
    <x v="3"/>
    <x v="5"/>
    <x v="42"/>
    <x v="1"/>
    <x v="3"/>
    <x v="0"/>
    <x v="231"/>
    <x v="68"/>
    <x v="243"/>
  </r>
  <r>
    <x v="339"/>
    <x v="236"/>
    <x v="1"/>
    <x v="3"/>
    <x v="4"/>
    <x v="3"/>
    <x v="6"/>
    <x v="7"/>
    <x v="15"/>
    <x v="6"/>
    <x v="3"/>
    <x v="1"/>
    <x v="100"/>
    <x v="34"/>
    <x v="107"/>
  </r>
  <r>
    <x v="340"/>
    <x v="236"/>
    <x v="1"/>
    <x v="3"/>
    <x v="0"/>
    <x v="1"/>
    <x v="11"/>
    <x v="1"/>
    <x v="1"/>
    <x v="40"/>
    <x v="3"/>
    <x v="3"/>
    <x v="96"/>
    <x v="34"/>
    <x v="92"/>
  </r>
  <r>
    <x v="341"/>
    <x v="237"/>
    <x v="1"/>
    <x v="3"/>
    <x v="0"/>
    <x v="3"/>
    <x v="3"/>
    <x v="1"/>
    <x v="6"/>
    <x v="0"/>
    <x v="2"/>
    <x v="0"/>
    <x v="4"/>
    <x v="2"/>
    <x v="4"/>
  </r>
  <r>
    <x v="342"/>
    <x v="237"/>
    <x v="1"/>
    <x v="3"/>
    <x v="3"/>
    <x v="3"/>
    <x v="3"/>
    <x v="2"/>
    <x v="19"/>
    <x v="1"/>
    <x v="1"/>
    <x v="0"/>
    <x v="83"/>
    <x v="25"/>
    <x v="124"/>
  </r>
  <r>
    <x v="343"/>
    <x v="238"/>
    <x v="1"/>
    <x v="3"/>
    <x v="4"/>
    <x v="0"/>
    <x v="5"/>
    <x v="7"/>
    <x v="2"/>
    <x v="179"/>
    <x v="2"/>
    <x v="6"/>
    <x v="531"/>
    <x v="94"/>
    <x v="427"/>
  </r>
  <r>
    <x v="344"/>
    <x v="239"/>
    <x v="1"/>
    <x v="3"/>
    <x v="4"/>
    <x v="0"/>
    <x v="5"/>
    <x v="7"/>
    <x v="1"/>
    <x v="192"/>
    <x v="0"/>
    <x v="6"/>
    <x v="451"/>
    <x v="90"/>
    <x v="463"/>
  </r>
  <r>
    <x v="345"/>
    <x v="240"/>
    <x v="1"/>
    <x v="3"/>
    <x v="3"/>
    <x v="1"/>
    <x v="4"/>
    <x v="2"/>
    <x v="1"/>
    <x v="412"/>
    <x v="3"/>
    <x v="11"/>
    <x v="775"/>
    <x v="103"/>
    <x v="338"/>
  </r>
  <r>
    <x v="346"/>
    <x v="241"/>
    <x v="1"/>
    <x v="3"/>
    <x v="3"/>
    <x v="0"/>
    <x v="10"/>
    <x v="2"/>
    <x v="0"/>
    <x v="252"/>
    <x v="2"/>
    <x v="7"/>
    <x v="267"/>
    <x v="82"/>
    <x v="198"/>
  </r>
  <r>
    <x v="347"/>
    <x v="242"/>
    <x v="1"/>
    <x v="4"/>
    <x v="2"/>
    <x v="3"/>
    <x v="2"/>
    <x v="5"/>
    <x v="2"/>
    <x v="14"/>
    <x v="1"/>
    <x v="2"/>
    <x v="10"/>
    <x v="3"/>
    <x v="11"/>
  </r>
  <r>
    <x v="348"/>
    <x v="242"/>
    <x v="1"/>
    <x v="4"/>
    <x v="4"/>
    <x v="0"/>
    <x v="5"/>
    <x v="6"/>
    <x v="0"/>
    <x v="178"/>
    <x v="1"/>
    <x v="6"/>
    <x v="209"/>
    <x v="77"/>
    <x v="139"/>
  </r>
  <r>
    <x v="349"/>
    <x v="243"/>
    <x v="1"/>
    <x v="4"/>
    <x v="2"/>
    <x v="2"/>
    <x v="1"/>
    <x v="5"/>
    <x v="2"/>
    <x v="55"/>
    <x v="0"/>
    <x v="4"/>
    <x v="399"/>
    <x v="89"/>
    <x v="419"/>
  </r>
  <r>
    <x v="350"/>
    <x v="244"/>
    <x v="1"/>
    <x v="4"/>
    <x v="1"/>
    <x v="1"/>
    <x v="8"/>
    <x v="4"/>
    <x v="2"/>
    <x v="360"/>
    <x v="1"/>
    <x v="10"/>
    <x v="755"/>
    <x v="102"/>
    <x v="702"/>
  </r>
  <r>
    <x v="351"/>
    <x v="244"/>
    <x v="1"/>
    <x v="4"/>
    <x v="3"/>
    <x v="1"/>
    <x v="4"/>
    <x v="2"/>
    <x v="1"/>
    <x v="465"/>
    <x v="0"/>
    <x v="11"/>
    <x v="807"/>
    <x v="103"/>
    <x v="774"/>
  </r>
  <r>
    <x v="352"/>
    <x v="245"/>
    <x v="1"/>
    <x v="4"/>
    <x v="4"/>
    <x v="0"/>
    <x v="0"/>
    <x v="7"/>
    <x v="1"/>
    <x v="266"/>
    <x v="0"/>
    <x v="8"/>
    <x v="524"/>
    <x v="93"/>
    <x v="572"/>
  </r>
  <r>
    <x v="353"/>
    <x v="246"/>
    <x v="1"/>
    <x v="4"/>
    <x v="3"/>
    <x v="1"/>
    <x v="11"/>
    <x v="2"/>
    <x v="4"/>
    <x v="28"/>
    <x v="0"/>
    <x v="3"/>
    <x v="370"/>
    <x v="86"/>
    <x v="476"/>
  </r>
  <r>
    <x v="354"/>
    <x v="247"/>
    <x v="1"/>
    <x v="4"/>
    <x v="3"/>
    <x v="0"/>
    <x v="0"/>
    <x v="3"/>
    <x v="1"/>
    <x v="276"/>
    <x v="0"/>
    <x v="8"/>
    <x v="527"/>
    <x v="93"/>
    <x v="610"/>
  </r>
  <r>
    <x v="355"/>
    <x v="247"/>
    <x v="1"/>
    <x v="4"/>
    <x v="2"/>
    <x v="0"/>
    <x v="5"/>
    <x v="0"/>
    <x v="0"/>
    <x v="154"/>
    <x v="2"/>
    <x v="6"/>
    <x v="174"/>
    <x v="77"/>
    <x v="57"/>
  </r>
  <r>
    <x v="356"/>
    <x v="248"/>
    <x v="1"/>
    <x v="4"/>
    <x v="3"/>
    <x v="3"/>
    <x v="2"/>
    <x v="2"/>
    <x v="3"/>
    <x v="14"/>
    <x v="1"/>
    <x v="2"/>
    <x v="24"/>
    <x v="8"/>
    <x v="30"/>
  </r>
  <r>
    <x v="357"/>
    <x v="248"/>
    <x v="1"/>
    <x v="4"/>
    <x v="2"/>
    <x v="3"/>
    <x v="3"/>
    <x v="0"/>
    <x v="4"/>
    <x v="0"/>
    <x v="0"/>
    <x v="0"/>
    <x v="2"/>
    <x v="1"/>
    <x v="0"/>
  </r>
  <r>
    <x v="358"/>
    <x v="248"/>
    <x v="1"/>
    <x v="4"/>
    <x v="2"/>
    <x v="2"/>
    <x v="7"/>
    <x v="0"/>
    <x v="3"/>
    <x v="118"/>
    <x v="1"/>
    <x v="5"/>
    <x v="564"/>
    <x v="94"/>
    <x v="612"/>
  </r>
  <r>
    <x v="359"/>
    <x v="249"/>
    <x v="1"/>
    <x v="4"/>
    <x v="4"/>
    <x v="0"/>
    <x v="0"/>
    <x v="6"/>
    <x v="0"/>
    <x v="265"/>
    <x v="0"/>
    <x v="8"/>
    <x v="320"/>
    <x v="84"/>
    <x v="304"/>
  </r>
  <r>
    <x v="360"/>
    <x v="250"/>
    <x v="1"/>
    <x v="4"/>
    <x v="0"/>
    <x v="3"/>
    <x v="6"/>
    <x v="1"/>
    <x v="20"/>
    <x v="3"/>
    <x v="2"/>
    <x v="1"/>
    <x v="140"/>
    <x v="47"/>
    <x v="151"/>
  </r>
  <r>
    <x v="361"/>
    <x v="251"/>
    <x v="1"/>
    <x v="4"/>
    <x v="4"/>
    <x v="1"/>
    <x v="11"/>
    <x v="7"/>
    <x v="3"/>
    <x v="26"/>
    <x v="3"/>
    <x v="3"/>
    <x v="244"/>
    <x v="77"/>
    <x v="207"/>
  </r>
  <r>
    <x v="362"/>
    <x v="252"/>
    <x v="1"/>
    <x v="4"/>
    <x v="1"/>
    <x v="2"/>
    <x v="9"/>
    <x v="9"/>
    <x v="2"/>
    <x v="319"/>
    <x v="1"/>
    <x v="9"/>
    <x v="709"/>
    <x v="100"/>
    <x v="728"/>
  </r>
  <r>
    <x v="363"/>
    <x v="252"/>
    <x v="1"/>
    <x v="4"/>
    <x v="0"/>
    <x v="3"/>
    <x v="2"/>
    <x v="8"/>
    <x v="2"/>
    <x v="14"/>
    <x v="1"/>
    <x v="2"/>
    <x v="10"/>
    <x v="3"/>
    <x v="11"/>
  </r>
  <r>
    <x v="364"/>
    <x v="253"/>
    <x v="1"/>
    <x v="4"/>
    <x v="1"/>
    <x v="1"/>
    <x v="8"/>
    <x v="4"/>
    <x v="1"/>
    <x v="389"/>
    <x v="3"/>
    <x v="10"/>
    <x v="625"/>
    <x v="99"/>
    <x v="394"/>
  </r>
  <r>
    <x v="365"/>
    <x v="254"/>
    <x v="1"/>
    <x v="4"/>
    <x v="3"/>
    <x v="1"/>
    <x v="4"/>
    <x v="2"/>
    <x v="0"/>
    <x v="439"/>
    <x v="1"/>
    <x v="11"/>
    <x v="695"/>
    <x v="101"/>
    <x v="570"/>
  </r>
  <r>
    <x v="366"/>
    <x v="255"/>
    <x v="1"/>
    <x v="4"/>
    <x v="2"/>
    <x v="1"/>
    <x v="4"/>
    <x v="0"/>
    <x v="0"/>
    <x v="443"/>
    <x v="1"/>
    <x v="11"/>
    <x v="697"/>
    <x v="101"/>
    <x v="581"/>
  </r>
  <r>
    <x v="367"/>
    <x v="255"/>
    <x v="1"/>
    <x v="4"/>
    <x v="0"/>
    <x v="1"/>
    <x v="8"/>
    <x v="1"/>
    <x v="0"/>
    <x v="376"/>
    <x v="3"/>
    <x v="10"/>
    <x v="418"/>
    <x v="92"/>
    <x v="142"/>
  </r>
  <r>
    <x v="368"/>
    <x v="255"/>
    <x v="1"/>
    <x v="4"/>
    <x v="2"/>
    <x v="1"/>
    <x v="11"/>
    <x v="5"/>
    <x v="5"/>
    <x v="17"/>
    <x v="0"/>
    <x v="3"/>
    <x v="411"/>
    <x v="87"/>
    <x v="522"/>
  </r>
  <r>
    <x v="369"/>
    <x v="256"/>
    <x v="1"/>
    <x v="4"/>
    <x v="3"/>
    <x v="2"/>
    <x v="1"/>
    <x v="3"/>
    <x v="1"/>
    <x v="83"/>
    <x v="0"/>
    <x v="4"/>
    <x v="296"/>
    <x v="79"/>
    <x v="333"/>
  </r>
  <r>
    <x v="370"/>
    <x v="257"/>
    <x v="1"/>
    <x v="4"/>
    <x v="2"/>
    <x v="1"/>
    <x v="11"/>
    <x v="0"/>
    <x v="3"/>
    <x v="26"/>
    <x v="0"/>
    <x v="3"/>
    <x v="306"/>
    <x v="77"/>
    <x v="383"/>
  </r>
  <r>
    <x v="371"/>
    <x v="257"/>
    <x v="1"/>
    <x v="4"/>
    <x v="2"/>
    <x v="3"/>
    <x v="6"/>
    <x v="5"/>
    <x v="25"/>
    <x v="6"/>
    <x v="2"/>
    <x v="1"/>
    <x v="212"/>
    <x v="62"/>
    <x v="249"/>
  </r>
  <r>
    <x v="372"/>
    <x v="258"/>
    <x v="1"/>
    <x v="4"/>
    <x v="3"/>
    <x v="2"/>
    <x v="7"/>
    <x v="3"/>
    <x v="2"/>
    <x v="98"/>
    <x v="0"/>
    <x v="5"/>
    <x v="499"/>
    <x v="92"/>
    <x v="520"/>
  </r>
  <r>
    <x v="373"/>
    <x v="258"/>
    <x v="1"/>
    <x v="4"/>
    <x v="3"/>
    <x v="1"/>
    <x v="4"/>
    <x v="3"/>
    <x v="1"/>
    <x v="423"/>
    <x v="1"/>
    <x v="11"/>
    <x v="785"/>
    <x v="103"/>
    <x v="741"/>
  </r>
  <r>
    <x v="374"/>
    <x v="259"/>
    <x v="1"/>
    <x v="4"/>
    <x v="3"/>
    <x v="3"/>
    <x v="2"/>
    <x v="3"/>
    <x v="9"/>
    <x v="8"/>
    <x v="0"/>
    <x v="2"/>
    <x v="116"/>
    <x v="32"/>
    <x v="152"/>
  </r>
  <r>
    <x v="375"/>
    <x v="259"/>
    <x v="1"/>
    <x v="4"/>
    <x v="1"/>
    <x v="0"/>
    <x v="5"/>
    <x v="9"/>
    <x v="1"/>
    <x v="146"/>
    <x v="0"/>
    <x v="6"/>
    <x v="425"/>
    <x v="90"/>
    <x v="329"/>
  </r>
  <r>
    <x v="376"/>
    <x v="260"/>
    <x v="1"/>
    <x v="4"/>
    <x v="3"/>
    <x v="2"/>
    <x v="1"/>
    <x v="2"/>
    <x v="2"/>
    <x v="57"/>
    <x v="0"/>
    <x v="4"/>
    <x v="402"/>
    <x v="89"/>
    <x v="426"/>
  </r>
  <r>
    <x v="377"/>
    <x v="260"/>
    <x v="1"/>
    <x v="4"/>
    <x v="2"/>
    <x v="0"/>
    <x v="10"/>
    <x v="5"/>
    <x v="2"/>
    <x v="255"/>
    <x v="0"/>
    <x v="7"/>
    <x v="629"/>
    <x v="96"/>
    <x v="725"/>
  </r>
  <r>
    <x v="378"/>
    <x v="261"/>
    <x v="1"/>
    <x v="5"/>
    <x v="3"/>
    <x v="2"/>
    <x v="1"/>
    <x v="3"/>
    <x v="0"/>
    <x v="51"/>
    <x v="1"/>
    <x v="4"/>
    <x v="87"/>
    <x v="37"/>
    <x v="61"/>
  </r>
  <r>
    <x v="379"/>
    <x v="262"/>
    <x v="1"/>
    <x v="5"/>
    <x v="2"/>
    <x v="1"/>
    <x v="8"/>
    <x v="0"/>
    <x v="1"/>
    <x v="332"/>
    <x v="1"/>
    <x v="10"/>
    <x v="641"/>
    <x v="99"/>
    <x v="498"/>
  </r>
  <r>
    <x v="380"/>
    <x v="263"/>
    <x v="1"/>
    <x v="5"/>
    <x v="2"/>
    <x v="0"/>
    <x v="0"/>
    <x v="0"/>
    <x v="0"/>
    <x v="273"/>
    <x v="0"/>
    <x v="8"/>
    <x v="324"/>
    <x v="84"/>
    <x v="322"/>
  </r>
  <r>
    <x v="381"/>
    <x v="264"/>
    <x v="1"/>
    <x v="5"/>
    <x v="1"/>
    <x v="1"/>
    <x v="11"/>
    <x v="9"/>
    <x v="1"/>
    <x v="22"/>
    <x v="3"/>
    <x v="3"/>
    <x v="85"/>
    <x v="34"/>
    <x v="65"/>
  </r>
  <r>
    <x v="382"/>
    <x v="265"/>
    <x v="1"/>
    <x v="5"/>
    <x v="3"/>
    <x v="2"/>
    <x v="9"/>
    <x v="2"/>
    <x v="1"/>
    <x v="320"/>
    <x v="1"/>
    <x v="9"/>
    <x v="572"/>
    <x v="95"/>
    <x v="616"/>
  </r>
  <r>
    <x v="383"/>
    <x v="266"/>
    <x v="1"/>
    <x v="5"/>
    <x v="2"/>
    <x v="2"/>
    <x v="7"/>
    <x v="5"/>
    <x v="4"/>
    <x v="107"/>
    <x v="0"/>
    <x v="5"/>
    <x v="648"/>
    <x v="98"/>
    <x v="709"/>
  </r>
  <r>
    <x v="384"/>
    <x v="266"/>
    <x v="1"/>
    <x v="5"/>
    <x v="2"/>
    <x v="2"/>
    <x v="7"/>
    <x v="0"/>
    <x v="3"/>
    <x v="110"/>
    <x v="1"/>
    <x v="5"/>
    <x v="561"/>
    <x v="94"/>
    <x v="593"/>
  </r>
  <r>
    <x v="385"/>
    <x v="266"/>
    <x v="1"/>
    <x v="5"/>
    <x v="3"/>
    <x v="3"/>
    <x v="2"/>
    <x v="2"/>
    <x v="17"/>
    <x v="13"/>
    <x v="0"/>
    <x v="2"/>
    <x v="282"/>
    <x v="66"/>
    <x v="411"/>
  </r>
  <r>
    <x v="386"/>
    <x v="267"/>
    <x v="1"/>
    <x v="5"/>
    <x v="3"/>
    <x v="1"/>
    <x v="8"/>
    <x v="2"/>
    <x v="2"/>
    <x v="358"/>
    <x v="2"/>
    <x v="10"/>
    <x v="743"/>
    <x v="102"/>
    <x v="613"/>
  </r>
  <r>
    <x v="387"/>
    <x v="268"/>
    <x v="1"/>
    <x v="5"/>
    <x v="4"/>
    <x v="3"/>
    <x v="3"/>
    <x v="7"/>
    <x v="6"/>
    <x v="2"/>
    <x v="3"/>
    <x v="0"/>
    <x v="5"/>
    <x v="2"/>
    <x v="6"/>
  </r>
  <r>
    <x v="388"/>
    <x v="268"/>
    <x v="1"/>
    <x v="5"/>
    <x v="2"/>
    <x v="3"/>
    <x v="6"/>
    <x v="0"/>
    <x v="17"/>
    <x v="4"/>
    <x v="1"/>
    <x v="1"/>
    <x v="132"/>
    <x v="39"/>
    <x v="160"/>
  </r>
  <r>
    <x v="389"/>
    <x v="269"/>
    <x v="1"/>
    <x v="5"/>
    <x v="1"/>
    <x v="2"/>
    <x v="1"/>
    <x v="9"/>
    <x v="3"/>
    <x v="80"/>
    <x v="0"/>
    <x v="4"/>
    <x v="507"/>
    <x v="91"/>
    <x v="603"/>
  </r>
  <r>
    <x v="390"/>
    <x v="270"/>
    <x v="1"/>
    <x v="5"/>
    <x v="1"/>
    <x v="3"/>
    <x v="2"/>
    <x v="4"/>
    <x v="3"/>
    <x v="11"/>
    <x v="2"/>
    <x v="2"/>
    <x v="18"/>
    <x v="8"/>
    <x v="15"/>
  </r>
  <r>
    <x v="391"/>
    <x v="271"/>
    <x v="1"/>
    <x v="5"/>
    <x v="3"/>
    <x v="3"/>
    <x v="2"/>
    <x v="3"/>
    <x v="7"/>
    <x v="11"/>
    <x v="2"/>
    <x v="2"/>
    <x v="66"/>
    <x v="24"/>
    <x v="84"/>
  </r>
  <r>
    <x v="392"/>
    <x v="272"/>
    <x v="1"/>
    <x v="5"/>
    <x v="3"/>
    <x v="2"/>
    <x v="9"/>
    <x v="2"/>
    <x v="1"/>
    <x v="287"/>
    <x v="1"/>
    <x v="9"/>
    <x v="551"/>
    <x v="95"/>
    <x v="510"/>
  </r>
  <r>
    <x v="393"/>
    <x v="273"/>
    <x v="1"/>
    <x v="5"/>
    <x v="1"/>
    <x v="0"/>
    <x v="5"/>
    <x v="9"/>
    <x v="0"/>
    <x v="162"/>
    <x v="0"/>
    <x v="6"/>
    <x v="215"/>
    <x v="77"/>
    <x v="148"/>
  </r>
  <r>
    <x v="394"/>
    <x v="274"/>
    <x v="1"/>
    <x v="5"/>
    <x v="3"/>
    <x v="2"/>
    <x v="1"/>
    <x v="3"/>
    <x v="2"/>
    <x v="56"/>
    <x v="0"/>
    <x v="4"/>
    <x v="400"/>
    <x v="89"/>
    <x v="421"/>
  </r>
  <r>
    <x v="395"/>
    <x v="274"/>
    <x v="1"/>
    <x v="5"/>
    <x v="3"/>
    <x v="1"/>
    <x v="4"/>
    <x v="3"/>
    <x v="0"/>
    <x v="432"/>
    <x v="1"/>
    <x v="11"/>
    <x v="691"/>
    <x v="101"/>
    <x v="553"/>
  </r>
  <r>
    <x v="396"/>
    <x v="275"/>
    <x v="1"/>
    <x v="6"/>
    <x v="3"/>
    <x v="1"/>
    <x v="4"/>
    <x v="2"/>
    <x v="1"/>
    <x v="470"/>
    <x v="0"/>
    <x v="11"/>
    <x v="809"/>
    <x v="103"/>
    <x v="776"/>
  </r>
  <r>
    <x v="397"/>
    <x v="276"/>
    <x v="1"/>
    <x v="6"/>
    <x v="3"/>
    <x v="3"/>
    <x v="2"/>
    <x v="3"/>
    <x v="2"/>
    <x v="14"/>
    <x v="3"/>
    <x v="2"/>
    <x v="6"/>
    <x v="3"/>
    <x v="5"/>
  </r>
  <r>
    <x v="398"/>
    <x v="277"/>
    <x v="1"/>
    <x v="6"/>
    <x v="3"/>
    <x v="2"/>
    <x v="9"/>
    <x v="2"/>
    <x v="0"/>
    <x v="281"/>
    <x v="1"/>
    <x v="9"/>
    <x v="351"/>
    <x v="88"/>
    <x v="218"/>
  </r>
  <r>
    <x v="399"/>
    <x v="278"/>
    <x v="1"/>
    <x v="6"/>
    <x v="1"/>
    <x v="0"/>
    <x v="5"/>
    <x v="9"/>
    <x v="0"/>
    <x v="177"/>
    <x v="2"/>
    <x v="6"/>
    <x v="189"/>
    <x v="77"/>
    <x v="88"/>
  </r>
  <r>
    <x v="400"/>
    <x v="279"/>
    <x v="1"/>
    <x v="6"/>
    <x v="1"/>
    <x v="0"/>
    <x v="0"/>
    <x v="9"/>
    <x v="2"/>
    <x v="268"/>
    <x v="0"/>
    <x v="8"/>
    <x v="635"/>
    <x v="97"/>
    <x v="712"/>
  </r>
  <r>
    <x v="401"/>
    <x v="280"/>
    <x v="1"/>
    <x v="6"/>
    <x v="0"/>
    <x v="3"/>
    <x v="6"/>
    <x v="8"/>
    <x v="10"/>
    <x v="4"/>
    <x v="0"/>
    <x v="1"/>
    <x v="62"/>
    <x v="21"/>
    <x v="89"/>
  </r>
  <r>
    <x v="402"/>
    <x v="281"/>
    <x v="1"/>
    <x v="6"/>
    <x v="4"/>
    <x v="2"/>
    <x v="7"/>
    <x v="6"/>
    <x v="3"/>
    <x v="106"/>
    <x v="1"/>
    <x v="5"/>
    <x v="559"/>
    <x v="94"/>
    <x v="580"/>
  </r>
  <r>
    <x v="403"/>
    <x v="282"/>
    <x v="1"/>
    <x v="6"/>
    <x v="2"/>
    <x v="2"/>
    <x v="9"/>
    <x v="5"/>
    <x v="2"/>
    <x v="282"/>
    <x v="3"/>
    <x v="9"/>
    <x v="644"/>
    <x v="100"/>
    <x v="425"/>
  </r>
  <r>
    <x v="404"/>
    <x v="283"/>
    <x v="1"/>
    <x v="6"/>
    <x v="2"/>
    <x v="2"/>
    <x v="9"/>
    <x v="5"/>
    <x v="1"/>
    <x v="280"/>
    <x v="0"/>
    <x v="9"/>
    <x v="563"/>
    <x v="95"/>
    <x v="558"/>
  </r>
  <r>
    <x v="405"/>
    <x v="284"/>
    <x v="1"/>
    <x v="6"/>
    <x v="3"/>
    <x v="0"/>
    <x v="10"/>
    <x v="3"/>
    <x v="0"/>
    <x v="249"/>
    <x v="0"/>
    <x v="7"/>
    <x v="314"/>
    <x v="82"/>
    <x v="315"/>
  </r>
  <r>
    <x v="406"/>
    <x v="285"/>
    <x v="1"/>
    <x v="7"/>
    <x v="4"/>
    <x v="2"/>
    <x v="1"/>
    <x v="6"/>
    <x v="3"/>
    <x v="76"/>
    <x v="0"/>
    <x v="4"/>
    <x v="503"/>
    <x v="91"/>
    <x v="591"/>
  </r>
  <r>
    <x v="407"/>
    <x v="286"/>
    <x v="1"/>
    <x v="7"/>
    <x v="2"/>
    <x v="0"/>
    <x v="5"/>
    <x v="5"/>
    <x v="0"/>
    <x v="146"/>
    <x v="0"/>
    <x v="6"/>
    <x v="204"/>
    <x v="77"/>
    <x v="127"/>
  </r>
  <r>
    <x v="408"/>
    <x v="286"/>
    <x v="1"/>
    <x v="7"/>
    <x v="4"/>
    <x v="0"/>
    <x v="10"/>
    <x v="7"/>
    <x v="1"/>
    <x v="206"/>
    <x v="1"/>
    <x v="7"/>
    <x v="486"/>
    <x v="92"/>
    <x v="477"/>
  </r>
  <r>
    <x v="409"/>
    <x v="287"/>
    <x v="1"/>
    <x v="7"/>
    <x v="1"/>
    <x v="3"/>
    <x v="6"/>
    <x v="4"/>
    <x v="7"/>
    <x v="5"/>
    <x v="0"/>
    <x v="1"/>
    <x v="47"/>
    <x v="13"/>
    <x v="55"/>
  </r>
  <r>
    <x v="410"/>
    <x v="288"/>
    <x v="1"/>
    <x v="7"/>
    <x v="4"/>
    <x v="3"/>
    <x v="6"/>
    <x v="7"/>
    <x v="23"/>
    <x v="3"/>
    <x v="2"/>
    <x v="1"/>
    <x v="165"/>
    <x v="56"/>
    <x v="178"/>
  </r>
  <r>
    <x v="411"/>
    <x v="289"/>
    <x v="1"/>
    <x v="7"/>
    <x v="3"/>
    <x v="1"/>
    <x v="4"/>
    <x v="3"/>
    <x v="0"/>
    <x v="453"/>
    <x v="3"/>
    <x v="11"/>
    <x v="668"/>
    <x v="101"/>
    <x v="295"/>
  </r>
  <r>
    <x v="412"/>
    <x v="289"/>
    <x v="1"/>
    <x v="7"/>
    <x v="4"/>
    <x v="1"/>
    <x v="4"/>
    <x v="7"/>
    <x v="0"/>
    <x v="458"/>
    <x v="2"/>
    <x v="11"/>
    <x v="684"/>
    <x v="101"/>
    <x v="498"/>
  </r>
  <r>
    <x v="413"/>
    <x v="290"/>
    <x v="1"/>
    <x v="7"/>
    <x v="0"/>
    <x v="2"/>
    <x v="7"/>
    <x v="1"/>
    <x v="2"/>
    <x v="110"/>
    <x v="0"/>
    <x v="5"/>
    <x v="505"/>
    <x v="92"/>
    <x v="543"/>
  </r>
  <r>
    <x v="414"/>
    <x v="291"/>
    <x v="1"/>
    <x v="7"/>
    <x v="1"/>
    <x v="2"/>
    <x v="7"/>
    <x v="9"/>
    <x v="4"/>
    <x v="93"/>
    <x v="1"/>
    <x v="5"/>
    <x v="618"/>
    <x v="98"/>
    <x v="630"/>
  </r>
  <r>
    <x v="415"/>
    <x v="291"/>
    <x v="1"/>
    <x v="7"/>
    <x v="4"/>
    <x v="1"/>
    <x v="8"/>
    <x v="7"/>
    <x v="0"/>
    <x v="355"/>
    <x v="0"/>
    <x v="10"/>
    <x v="459"/>
    <x v="92"/>
    <x v="378"/>
  </r>
  <r>
    <x v="416"/>
    <x v="292"/>
    <x v="1"/>
    <x v="7"/>
    <x v="2"/>
    <x v="0"/>
    <x v="0"/>
    <x v="5"/>
    <x v="0"/>
    <x v="227"/>
    <x v="1"/>
    <x v="8"/>
    <x v="279"/>
    <x v="84"/>
    <x v="187"/>
  </r>
  <r>
    <x v="417"/>
    <x v="293"/>
    <x v="1"/>
    <x v="7"/>
    <x v="2"/>
    <x v="3"/>
    <x v="2"/>
    <x v="0"/>
    <x v="14"/>
    <x v="14"/>
    <x v="1"/>
    <x v="2"/>
    <x v="200"/>
    <x v="53"/>
    <x v="296"/>
  </r>
  <r>
    <x v="418"/>
    <x v="294"/>
    <x v="1"/>
    <x v="7"/>
    <x v="4"/>
    <x v="1"/>
    <x v="4"/>
    <x v="7"/>
    <x v="1"/>
    <x v="428"/>
    <x v="2"/>
    <x v="11"/>
    <x v="780"/>
    <x v="103"/>
    <x v="665"/>
  </r>
  <r>
    <x v="419"/>
    <x v="295"/>
    <x v="1"/>
    <x v="7"/>
    <x v="4"/>
    <x v="3"/>
    <x v="6"/>
    <x v="6"/>
    <x v="35"/>
    <x v="7"/>
    <x v="0"/>
    <x v="1"/>
    <x v="358"/>
    <x v="82"/>
    <x v="512"/>
  </r>
  <r>
    <x v="420"/>
    <x v="296"/>
    <x v="1"/>
    <x v="7"/>
    <x v="0"/>
    <x v="3"/>
    <x v="6"/>
    <x v="8"/>
    <x v="34"/>
    <x v="6"/>
    <x v="3"/>
    <x v="1"/>
    <x v="302"/>
    <x v="81"/>
    <x v="313"/>
  </r>
  <r>
    <x v="421"/>
    <x v="296"/>
    <x v="1"/>
    <x v="7"/>
    <x v="0"/>
    <x v="1"/>
    <x v="11"/>
    <x v="8"/>
    <x v="5"/>
    <x v="38"/>
    <x v="0"/>
    <x v="3"/>
    <x v="429"/>
    <x v="87"/>
    <x v="562"/>
  </r>
  <r>
    <x v="422"/>
    <x v="297"/>
    <x v="1"/>
    <x v="7"/>
    <x v="4"/>
    <x v="1"/>
    <x v="8"/>
    <x v="7"/>
    <x v="1"/>
    <x v="408"/>
    <x v="1"/>
    <x v="10"/>
    <x v="673"/>
    <x v="99"/>
    <x v="653"/>
  </r>
  <r>
    <x v="423"/>
    <x v="297"/>
    <x v="1"/>
    <x v="7"/>
    <x v="2"/>
    <x v="3"/>
    <x v="6"/>
    <x v="5"/>
    <x v="31"/>
    <x v="4"/>
    <x v="2"/>
    <x v="1"/>
    <x v="269"/>
    <x v="77"/>
    <x v="291"/>
  </r>
  <r>
    <x v="424"/>
    <x v="298"/>
    <x v="1"/>
    <x v="7"/>
    <x v="0"/>
    <x v="3"/>
    <x v="6"/>
    <x v="8"/>
    <x v="29"/>
    <x v="6"/>
    <x v="0"/>
    <x v="1"/>
    <x v="309"/>
    <x v="73"/>
    <x v="424"/>
  </r>
  <r>
    <x v="425"/>
    <x v="299"/>
    <x v="1"/>
    <x v="7"/>
    <x v="2"/>
    <x v="1"/>
    <x v="11"/>
    <x v="5"/>
    <x v="1"/>
    <x v="33"/>
    <x v="0"/>
    <x v="3"/>
    <x v="121"/>
    <x v="34"/>
    <x v="159"/>
  </r>
  <r>
    <x v="426"/>
    <x v="300"/>
    <x v="1"/>
    <x v="7"/>
    <x v="2"/>
    <x v="0"/>
    <x v="5"/>
    <x v="5"/>
    <x v="2"/>
    <x v="177"/>
    <x v="3"/>
    <x v="6"/>
    <x v="523"/>
    <x v="94"/>
    <x v="280"/>
  </r>
  <r>
    <x v="427"/>
    <x v="301"/>
    <x v="1"/>
    <x v="8"/>
    <x v="2"/>
    <x v="0"/>
    <x v="10"/>
    <x v="0"/>
    <x v="1"/>
    <x v="197"/>
    <x v="0"/>
    <x v="7"/>
    <x v="496"/>
    <x v="92"/>
    <x v="508"/>
  </r>
  <r>
    <x v="428"/>
    <x v="301"/>
    <x v="1"/>
    <x v="8"/>
    <x v="2"/>
    <x v="2"/>
    <x v="1"/>
    <x v="0"/>
    <x v="3"/>
    <x v="66"/>
    <x v="2"/>
    <x v="4"/>
    <x v="455"/>
    <x v="91"/>
    <x v="430"/>
  </r>
  <r>
    <x v="429"/>
    <x v="301"/>
    <x v="1"/>
    <x v="8"/>
    <x v="1"/>
    <x v="3"/>
    <x v="6"/>
    <x v="9"/>
    <x v="13"/>
    <x v="5"/>
    <x v="0"/>
    <x v="1"/>
    <x v="102"/>
    <x v="29"/>
    <x v="146"/>
  </r>
  <r>
    <x v="430"/>
    <x v="302"/>
    <x v="1"/>
    <x v="8"/>
    <x v="0"/>
    <x v="3"/>
    <x v="6"/>
    <x v="8"/>
    <x v="17"/>
    <x v="6"/>
    <x v="0"/>
    <x v="1"/>
    <x v="143"/>
    <x v="39"/>
    <x v="217"/>
  </r>
  <r>
    <x v="431"/>
    <x v="302"/>
    <x v="1"/>
    <x v="8"/>
    <x v="2"/>
    <x v="2"/>
    <x v="9"/>
    <x v="0"/>
    <x v="1"/>
    <x v="314"/>
    <x v="0"/>
    <x v="9"/>
    <x v="586"/>
    <x v="95"/>
    <x v="653"/>
  </r>
  <r>
    <x v="432"/>
    <x v="303"/>
    <x v="1"/>
    <x v="8"/>
    <x v="1"/>
    <x v="3"/>
    <x v="2"/>
    <x v="9"/>
    <x v="2"/>
    <x v="12"/>
    <x v="1"/>
    <x v="2"/>
    <x v="9"/>
    <x v="3"/>
    <x v="10"/>
  </r>
  <r>
    <x v="433"/>
    <x v="304"/>
    <x v="1"/>
    <x v="8"/>
    <x v="0"/>
    <x v="3"/>
    <x v="6"/>
    <x v="1"/>
    <x v="18"/>
    <x v="3"/>
    <x v="1"/>
    <x v="1"/>
    <x v="134"/>
    <x v="42"/>
    <x v="156"/>
  </r>
  <r>
    <x v="434"/>
    <x v="305"/>
    <x v="1"/>
    <x v="8"/>
    <x v="1"/>
    <x v="1"/>
    <x v="4"/>
    <x v="9"/>
    <x v="1"/>
    <x v="429"/>
    <x v="1"/>
    <x v="11"/>
    <x v="788"/>
    <x v="103"/>
    <x v="747"/>
  </r>
  <r>
    <x v="435"/>
    <x v="306"/>
    <x v="1"/>
    <x v="8"/>
    <x v="4"/>
    <x v="1"/>
    <x v="11"/>
    <x v="6"/>
    <x v="1"/>
    <x v="46"/>
    <x v="0"/>
    <x v="3"/>
    <x v="128"/>
    <x v="34"/>
    <x v="180"/>
  </r>
  <r>
    <x v="436"/>
    <x v="306"/>
    <x v="1"/>
    <x v="8"/>
    <x v="4"/>
    <x v="1"/>
    <x v="4"/>
    <x v="6"/>
    <x v="0"/>
    <x v="484"/>
    <x v="0"/>
    <x v="11"/>
    <x v="736"/>
    <x v="101"/>
    <x v="723"/>
  </r>
  <r>
    <x v="437"/>
    <x v="307"/>
    <x v="1"/>
    <x v="8"/>
    <x v="1"/>
    <x v="1"/>
    <x v="11"/>
    <x v="9"/>
    <x v="3"/>
    <x v="34"/>
    <x v="1"/>
    <x v="3"/>
    <x v="292"/>
    <x v="77"/>
    <x v="353"/>
  </r>
  <r>
    <x v="438"/>
    <x v="308"/>
    <x v="1"/>
    <x v="8"/>
    <x v="1"/>
    <x v="2"/>
    <x v="9"/>
    <x v="4"/>
    <x v="2"/>
    <x v="310"/>
    <x v="0"/>
    <x v="9"/>
    <x v="724"/>
    <x v="100"/>
    <x v="743"/>
  </r>
  <r>
    <x v="439"/>
    <x v="309"/>
    <x v="1"/>
    <x v="8"/>
    <x v="1"/>
    <x v="0"/>
    <x v="5"/>
    <x v="4"/>
    <x v="0"/>
    <x v="157"/>
    <x v="2"/>
    <x v="6"/>
    <x v="176"/>
    <x v="77"/>
    <x v="59"/>
  </r>
  <r>
    <x v="440"/>
    <x v="310"/>
    <x v="1"/>
    <x v="8"/>
    <x v="0"/>
    <x v="2"/>
    <x v="7"/>
    <x v="1"/>
    <x v="1"/>
    <x v="111"/>
    <x v="2"/>
    <x v="5"/>
    <x v="348"/>
    <x v="87"/>
    <x v="239"/>
  </r>
  <r>
    <x v="441"/>
    <x v="311"/>
    <x v="1"/>
    <x v="8"/>
    <x v="4"/>
    <x v="3"/>
    <x v="3"/>
    <x v="7"/>
    <x v="44"/>
    <x v="0"/>
    <x v="2"/>
    <x v="0"/>
    <x v="252"/>
    <x v="72"/>
    <x v="287"/>
  </r>
  <r>
    <x v="442"/>
    <x v="312"/>
    <x v="1"/>
    <x v="8"/>
    <x v="4"/>
    <x v="0"/>
    <x v="5"/>
    <x v="6"/>
    <x v="0"/>
    <x v="139"/>
    <x v="1"/>
    <x v="6"/>
    <x v="186"/>
    <x v="77"/>
    <x v="76"/>
  </r>
  <r>
    <x v="443"/>
    <x v="312"/>
    <x v="1"/>
    <x v="8"/>
    <x v="1"/>
    <x v="3"/>
    <x v="6"/>
    <x v="4"/>
    <x v="19"/>
    <x v="5"/>
    <x v="0"/>
    <x v="1"/>
    <x v="157"/>
    <x v="45"/>
    <x v="231"/>
  </r>
  <r>
    <x v="444"/>
    <x v="313"/>
    <x v="1"/>
    <x v="8"/>
    <x v="0"/>
    <x v="3"/>
    <x v="2"/>
    <x v="1"/>
    <x v="18"/>
    <x v="12"/>
    <x v="3"/>
    <x v="2"/>
    <x v="241"/>
    <x v="70"/>
    <x v="247"/>
  </r>
  <r>
    <x v="445"/>
    <x v="314"/>
    <x v="1"/>
    <x v="8"/>
    <x v="4"/>
    <x v="2"/>
    <x v="1"/>
    <x v="7"/>
    <x v="3"/>
    <x v="52"/>
    <x v="0"/>
    <x v="4"/>
    <x v="480"/>
    <x v="91"/>
    <x v="521"/>
  </r>
  <r>
    <x v="446"/>
    <x v="315"/>
    <x v="1"/>
    <x v="8"/>
    <x v="2"/>
    <x v="3"/>
    <x v="6"/>
    <x v="0"/>
    <x v="32"/>
    <x v="6"/>
    <x v="1"/>
    <x v="1"/>
    <x v="322"/>
    <x v="78"/>
    <x v="415"/>
  </r>
  <r>
    <x v="447"/>
    <x v="315"/>
    <x v="1"/>
    <x v="8"/>
    <x v="4"/>
    <x v="0"/>
    <x v="5"/>
    <x v="6"/>
    <x v="1"/>
    <x v="172"/>
    <x v="0"/>
    <x v="6"/>
    <x v="439"/>
    <x v="90"/>
    <x v="406"/>
  </r>
  <r>
    <x v="448"/>
    <x v="316"/>
    <x v="1"/>
    <x v="8"/>
    <x v="1"/>
    <x v="3"/>
    <x v="6"/>
    <x v="9"/>
    <x v="20"/>
    <x v="3"/>
    <x v="0"/>
    <x v="1"/>
    <x v="158"/>
    <x v="47"/>
    <x v="217"/>
  </r>
  <r>
    <x v="449"/>
    <x v="316"/>
    <x v="1"/>
    <x v="8"/>
    <x v="4"/>
    <x v="0"/>
    <x v="0"/>
    <x v="6"/>
    <x v="0"/>
    <x v="278"/>
    <x v="1"/>
    <x v="8"/>
    <x v="315"/>
    <x v="84"/>
    <x v="270"/>
  </r>
  <r>
    <x v="450"/>
    <x v="316"/>
    <x v="1"/>
    <x v="8"/>
    <x v="4"/>
    <x v="1"/>
    <x v="11"/>
    <x v="7"/>
    <x v="4"/>
    <x v="40"/>
    <x v="0"/>
    <x v="3"/>
    <x v="381"/>
    <x v="86"/>
    <x v="515"/>
  </r>
  <r>
    <x v="451"/>
    <x v="317"/>
    <x v="1"/>
    <x v="8"/>
    <x v="2"/>
    <x v="2"/>
    <x v="1"/>
    <x v="5"/>
    <x v="3"/>
    <x v="65"/>
    <x v="3"/>
    <x v="4"/>
    <x v="435"/>
    <x v="91"/>
    <x v="324"/>
  </r>
  <r>
    <x v="452"/>
    <x v="318"/>
    <x v="1"/>
    <x v="8"/>
    <x v="4"/>
    <x v="1"/>
    <x v="8"/>
    <x v="7"/>
    <x v="0"/>
    <x v="387"/>
    <x v="0"/>
    <x v="10"/>
    <x v="476"/>
    <x v="92"/>
    <x v="441"/>
  </r>
  <r>
    <x v="453"/>
    <x v="319"/>
    <x v="1"/>
    <x v="8"/>
    <x v="4"/>
    <x v="3"/>
    <x v="6"/>
    <x v="7"/>
    <x v="5"/>
    <x v="6"/>
    <x v="0"/>
    <x v="1"/>
    <x v="23"/>
    <x v="7"/>
    <x v="32"/>
  </r>
  <r>
    <x v="454"/>
    <x v="320"/>
    <x v="1"/>
    <x v="8"/>
    <x v="0"/>
    <x v="3"/>
    <x v="3"/>
    <x v="8"/>
    <x v="46"/>
    <x v="2"/>
    <x v="0"/>
    <x v="0"/>
    <x v="338"/>
    <x v="76"/>
    <x v="478"/>
  </r>
  <r>
    <x v="455"/>
    <x v="321"/>
    <x v="1"/>
    <x v="9"/>
    <x v="3"/>
    <x v="1"/>
    <x v="8"/>
    <x v="2"/>
    <x v="1"/>
    <x v="340"/>
    <x v="2"/>
    <x v="10"/>
    <x v="624"/>
    <x v="99"/>
    <x v="393"/>
  </r>
  <r>
    <x v="456"/>
    <x v="321"/>
    <x v="1"/>
    <x v="9"/>
    <x v="2"/>
    <x v="3"/>
    <x v="3"/>
    <x v="5"/>
    <x v="30"/>
    <x v="2"/>
    <x v="0"/>
    <x v="0"/>
    <x v="173"/>
    <x v="44"/>
    <x v="288"/>
  </r>
  <r>
    <x v="457"/>
    <x v="322"/>
    <x v="1"/>
    <x v="9"/>
    <x v="2"/>
    <x v="3"/>
    <x v="6"/>
    <x v="5"/>
    <x v="33"/>
    <x v="7"/>
    <x v="3"/>
    <x v="1"/>
    <x v="298"/>
    <x v="80"/>
    <x v="327"/>
  </r>
  <r>
    <x v="458"/>
    <x v="322"/>
    <x v="1"/>
    <x v="9"/>
    <x v="3"/>
    <x v="3"/>
    <x v="2"/>
    <x v="3"/>
    <x v="9"/>
    <x v="11"/>
    <x v="0"/>
    <x v="2"/>
    <x v="120"/>
    <x v="32"/>
    <x v="171"/>
  </r>
  <r>
    <x v="459"/>
    <x v="322"/>
    <x v="1"/>
    <x v="9"/>
    <x v="4"/>
    <x v="3"/>
    <x v="3"/>
    <x v="7"/>
    <x v="47"/>
    <x v="2"/>
    <x v="3"/>
    <x v="0"/>
    <x v="286"/>
    <x v="77"/>
    <x v="336"/>
  </r>
  <r>
    <x v="460"/>
    <x v="323"/>
    <x v="1"/>
    <x v="9"/>
    <x v="0"/>
    <x v="1"/>
    <x v="11"/>
    <x v="1"/>
    <x v="2"/>
    <x v="37"/>
    <x v="0"/>
    <x v="3"/>
    <x v="208"/>
    <x v="56"/>
    <x v="288"/>
  </r>
  <r>
    <x v="461"/>
    <x v="324"/>
    <x v="1"/>
    <x v="9"/>
    <x v="4"/>
    <x v="0"/>
    <x v="0"/>
    <x v="7"/>
    <x v="0"/>
    <x v="216"/>
    <x v="2"/>
    <x v="8"/>
    <x v="255"/>
    <x v="84"/>
    <x v="131"/>
  </r>
  <r>
    <x v="462"/>
    <x v="325"/>
    <x v="1"/>
    <x v="9"/>
    <x v="3"/>
    <x v="2"/>
    <x v="1"/>
    <x v="2"/>
    <x v="0"/>
    <x v="77"/>
    <x v="0"/>
    <x v="4"/>
    <x v="115"/>
    <x v="37"/>
    <x v="123"/>
  </r>
  <r>
    <x v="463"/>
    <x v="326"/>
    <x v="1"/>
    <x v="9"/>
    <x v="3"/>
    <x v="2"/>
    <x v="9"/>
    <x v="2"/>
    <x v="0"/>
    <x v="295"/>
    <x v="1"/>
    <x v="9"/>
    <x v="357"/>
    <x v="88"/>
    <x v="264"/>
  </r>
  <r>
    <x v="464"/>
    <x v="327"/>
    <x v="1"/>
    <x v="9"/>
    <x v="3"/>
    <x v="0"/>
    <x v="5"/>
    <x v="3"/>
    <x v="1"/>
    <x v="150"/>
    <x v="0"/>
    <x v="6"/>
    <x v="428"/>
    <x v="90"/>
    <x v="344"/>
  </r>
  <r>
    <x v="465"/>
    <x v="328"/>
    <x v="1"/>
    <x v="9"/>
    <x v="0"/>
    <x v="1"/>
    <x v="8"/>
    <x v="1"/>
    <x v="2"/>
    <x v="379"/>
    <x v="0"/>
    <x v="10"/>
    <x v="770"/>
    <x v="102"/>
    <x v="754"/>
  </r>
  <r>
    <x v="466"/>
    <x v="329"/>
    <x v="1"/>
    <x v="9"/>
    <x v="0"/>
    <x v="1"/>
    <x v="4"/>
    <x v="8"/>
    <x v="0"/>
    <x v="465"/>
    <x v="1"/>
    <x v="11"/>
    <x v="707"/>
    <x v="101"/>
    <x v="627"/>
  </r>
  <r>
    <x v="467"/>
    <x v="330"/>
    <x v="1"/>
    <x v="9"/>
    <x v="3"/>
    <x v="2"/>
    <x v="1"/>
    <x v="2"/>
    <x v="3"/>
    <x v="85"/>
    <x v="2"/>
    <x v="4"/>
    <x v="472"/>
    <x v="91"/>
    <x v="495"/>
  </r>
  <r>
    <x v="468"/>
    <x v="331"/>
    <x v="1"/>
    <x v="9"/>
    <x v="0"/>
    <x v="2"/>
    <x v="1"/>
    <x v="8"/>
    <x v="3"/>
    <x v="68"/>
    <x v="0"/>
    <x v="4"/>
    <x v="498"/>
    <x v="91"/>
    <x v="552"/>
  </r>
  <r>
    <x v="469"/>
    <x v="332"/>
    <x v="1"/>
    <x v="9"/>
    <x v="4"/>
    <x v="3"/>
    <x v="2"/>
    <x v="6"/>
    <x v="19"/>
    <x v="8"/>
    <x v="1"/>
    <x v="2"/>
    <x v="273"/>
    <x v="74"/>
    <x v="331"/>
  </r>
  <r>
    <x v="470"/>
    <x v="333"/>
    <x v="1"/>
    <x v="9"/>
    <x v="4"/>
    <x v="1"/>
    <x v="8"/>
    <x v="7"/>
    <x v="2"/>
    <x v="352"/>
    <x v="0"/>
    <x v="10"/>
    <x v="764"/>
    <x v="102"/>
    <x v="736"/>
  </r>
  <r>
    <x v="471"/>
    <x v="333"/>
    <x v="1"/>
    <x v="9"/>
    <x v="2"/>
    <x v="1"/>
    <x v="8"/>
    <x v="5"/>
    <x v="1"/>
    <x v="336"/>
    <x v="2"/>
    <x v="10"/>
    <x v="622"/>
    <x v="99"/>
    <x v="374"/>
  </r>
  <r>
    <x v="472"/>
    <x v="334"/>
    <x v="1"/>
    <x v="9"/>
    <x v="1"/>
    <x v="0"/>
    <x v="5"/>
    <x v="9"/>
    <x v="0"/>
    <x v="189"/>
    <x v="1"/>
    <x v="6"/>
    <x v="220"/>
    <x v="77"/>
    <x v="153"/>
  </r>
  <r>
    <x v="473"/>
    <x v="335"/>
    <x v="1"/>
    <x v="9"/>
    <x v="3"/>
    <x v="1"/>
    <x v="8"/>
    <x v="3"/>
    <x v="1"/>
    <x v="375"/>
    <x v="0"/>
    <x v="10"/>
    <x v="676"/>
    <x v="99"/>
    <x v="679"/>
  </r>
  <r>
    <x v="474"/>
    <x v="336"/>
    <x v="1"/>
    <x v="9"/>
    <x v="2"/>
    <x v="1"/>
    <x v="4"/>
    <x v="0"/>
    <x v="1"/>
    <x v="447"/>
    <x v="0"/>
    <x v="11"/>
    <x v="803"/>
    <x v="103"/>
    <x v="770"/>
  </r>
  <r>
    <x v="475"/>
    <x v="337"/>
    <x v="1"/>
    <x v="9"/>
    <x v="0"/>
    <x v="0"/>
    <x v="5"/>
    <x v="1"/>
    <x v="1"/>
    <x v="172"/>
    <x v="0"/>
    <x v="6"/>
    <x v="439"/>
    <x v="90"/>
    <x v="406"/>
  </r>
  <r>
    <x v="476"/>
    <x v="338"/>
    <x v="1"/>
    <x v="9"/>
    <x v="1"/>
    <x v="3"/>
    <x v="6"/>
    <x v="4"/>
    <x v="8"/>
    <x v="6"/>
    <x v="0"/>
    <x v="1"/>
    <x v="52"/>
    <x v="15"/>
    <x v="71"/>
  </r>
  <r>
    <x v="477"/>
    <x v="338"/>
    <x v="1"/>
    <x v="9"/>
    <x v="3"/>
    <x v="1"/>
    <x v="8"/>
    <x v="3"/>
    <x v="0"/>
    <x v="396"/>
    <x v="3"/>
    <x v="10"/>
    <x v="424"/>
    <x v="92"/>
    <x v="165"/>
  </r>
  <r>
    <x v="478"/>
    <x v="339"/>
    <x v="1"/>
    <x v="9"/>
    <x v="1"/>
    <x v="2"/>
    <x v="9"/>
    <x v="4"/>
    <x v="0"/>
    <x v="302"/>
    <x v="0"/>
    <x v="9"/>
    <x v="385"/>
    <x v="88"/>
    <x v="370"/>
  </r>
  <r>
    <x v="479"/>
    <x v="340"/>
    <x v="1"/>
    <x v="9"/>
    <x v="2"/>
    <x v="0"/>
    <x v="0"/>
    <x v="0"/>
    <x v="1"/>
    <x v="219"/>
    <x v="2"/>
    <x v="8"/>
    <x v="468"/>
    <x v="93"/>
    <x v="346"/>
  </r>
  <r>
    <x v="480"/>
    <x v="341"/>
    <x v="1"/>
    <x v="9"/>
    <x v="2"/>
    <x v="2"/>
    <x v="1"/>
    <x v="0"/>
    <x v="0"/>
    <x v="77"/>
    <x v="3"/>
    <x v="4"/>
    <x v="82"/>
    <x v="37"/>
    <x v="49"/>
  </r>
  <r>
    <x v="481"/>
    <x v="341"/>
    <x v="1"/>
    <x v="9"/>
    <x v="2"/>
    <x v="3"/>
    <x v="2"/>
    <x v="0"/>
    <x v="8"/>
    <x v="8"/>
    <x v="0"/>
    <x v="2"/>
    <x v="94"/>
    <x v="28"/>
    <x v="130"/>
  </r>
  <r>
    <x v="482"/>
    <x v="342"/>
    <x v="1"/>
    <x v="9"/>
    <x v="1"/>
    <x v="3"/>
    <x v="2"/>
    <x v="9"/>
    <x v="3"/>
    <x v="14"/>
    <x v="3"/>
    <x v="2"/>
    <x v="17"/>
    <x v="8"/>
    <x v="14"/>
  </r>
  <r>
    <x v="483"/>
    <x v="343"/>
    <x v="1"/>
    <x v="10"/>
    <x v="2"/>
    <x v="3"/>
    <x v="6"/>
    <x v="5"/>
    <x v="26"/>
    <x v="3"/>
    <x v="1"/>
    <x v="1"/>
    <x v="226"/>
    <x v="65"/>
    <x v="252"/>
  </r>
  <r>
    <x v="484"/>
    <x v="344"/>
    <x v="1"/>
    <x v="10"/>
    <x v="2"/>
    <x v="3"/>
    <x v="2"/>
    <x v="5"/>
    <x v="16"/>
    <x v="14"/>
    <x v="2"/>
    <x v="2"/>
    <x v="230"/>
    <x v="61"/>
    <x v="298"/>
  </r>
  <r>
    <x v="485"/>
    <x v="344"/>
    <x v="1"/>
    <x v="10"/>
    <x v="3"/>
    <x v="3"/>
    <x v="3"/>
    <x v="3"/>
    <x v="47"/>
    <x v="0"/>
    <x v="1"/>
    <x v="0"/>
    <x v="308"/>
    <x v="77"/>
    <x v="385"/>
  </r>
  <r>
    <x v="486"/>
    <x v="344"/>
    <x v="1"/>
    <x v="10"/>
    <x v="3"/>
    <x v="2"/>
    <x v="7"/>
    <x v="3"/>
    <x v="4"/>
    <x v="122"/>
    <x v="1"/>
    <x v="5"/>
    <x v="637"/>
    <x v="98"/>
    <x v="692"/>
  </r>
  <r>
    <x v="487"/>
    <x v="345"/>
    <x v="1"/>
    <x v="10"/>
    <x v="1"/>
    <x v="2"/>
    <x v="7"/>
    <x v="9"/>
    <x v="1"/>
    <x v="110"/>
    <x v="3"/>
    <x v="5"/>
    <x v="337"/>
    <x v="87"/>
    <x v="169"/>
  </r>
  <r>
    <x v="488"/>
    <x v="345"/>
    <x v="1"/>
    <x v="10"/>
    <x v="4"/>
    <x v="2"/>
    <x v="1"/>
    <x v="6"/>
    <x v="3"/>
    <x v="84"/>
    <x v="2"/>
    <x v="4"/>
    <x v="470"/>
    <x v="91"/>
    <x v="492"/>
  </r>
  <r>
    <x v="489"/>
    <x v="345"/>
    <x v="1"/>
    <x v="10"/>
    <x v="2"/>
    <x v="0"/>
    <x v="5"/>
    <x v="5"/>
    <x v="0"/>
    <x v="170"/>
    <x v="2"/>
    <x v="6"/>
    <x v="183"/>
    <x v="77"/>
    <x v="73"/>
  </r>
  <r>
    <x v="490"/>
    <x v="346"/>
    <x v="1"/>
    <x v="10"/>
    <x v="2"/>
    <x v="0"/>
    <x v="0"/>
    <x v="5"/>
    <x v="1"/>
    <x v="225"/>
    <x v="1"/>
    <x v="8"/>
    <x v="495"/>
    <x v="93"/>
    <x v="451"/>
  </r>
  <r>
    <x v="491"/>
    <x v="347"/>
    <x v="1"/>
    <x v="10"/>
    <x v="2"/>
    <x v="2"/>
    <x v="7"/>
    <x v="0"/>
    <x v="4"/>
    <x v="104"/>
    <x v="1"/>
    <x v="5"/>
    <x v="627"/>
    <x v="98"/>
    <x v="657"/>
  </r>
  <r>
    <x v="492"/>
    <x v="347"/>
    <x v="1"/>
    <x v="10"/>
    <x v="3"/>
    <x v="3"/>
    <x v="2"/>
    <x v="2"/>
    <x v="2"/>
    <x v="12"/>
    <x v="1"/>
    <x v="2"/>
    <x v="9"/>
    <x v="3"/>
    <x v="10"/>
  </r>
  <r>
    <x v="493"/>
    <x v="348"/>
    <x v="1"/>
    <x v="10"/>
    <x v="2"/>
    <x v="3"/>
    <x v="6"/>
    <x v="5"/>
    <x v="11"/>
    <x v="6"/>
    <x v="0"/>
    <x v="1"/>
    <x v="77"/>
    <x v="23"/>
    <x v="126"/>
  </r>
  <r>
    <x v="494"/>
    <x v="349"/>
    <x v="1"/>
    <x v="10"/>
    <x v="3"/>
    <x v="3"/>
    <x v="3"/>
    <x v="2"/>
    <x v="7"/>
    <x v="2"/>
    <x v="2"/>
    <x v="0"/>
    <x v="13"/>
    <x v="5"/>
    <x v="12"/>
  </r>
  <r>
    <x v="495"/>
    <x v="349"/>
    <x v="1"/>
    <x v="10"/>
    <x v="1"/>
    <x v="1"/>
    <x v="11"/>
    <x v="9"/>
    <x v="0"/>
    <x v="27"/>
    <x v="0"/>
    <x v="3"/>
    <x v="40"/>
    <x v="13"/>
    <x v="45"/>
  </r>
  <r>
    <x v="496"/>
    <x v="350"/>
    <x v="1"/>
    <x v="10"/>
    <x v="2"/>
    <x v="1"/>
    <x v="11"/>
    <x v="0"/>
    <x v="4"/>
    <x v="24"/>
    <x v="0"/>
    <x v="3"/>
    <x v="363"/>
    <x v="86"/>
    <x v="465"/>
  </r>
  <r>
    <x v="497"/>
    <x v="351"/>
    <x v="1"/>
    <x v="10"/>
    <x v="3"/>
    <x v="1"/>
    <x v="8"/>
    <x v="2"/>
    <x v="2"/>
    <x v="350"/>
    <x v="0"/>
    <x v="10"/>
    <x v="763"/>
    <x v="102"/>
    <x v="734"/>
  </r>
  <r>
    <x v="498"/>
    <x v="352"/>
    <x v="1"/>
    <x v="10"/>
    <x v="3"/>
    <x v="1"/>
    <x v="8"/>
    <x v="2"/>
    <x v="1"/>
    <x v="366"/>
    <x v="1"/>
    <x v="10"/>
    <x v="659"/>
    <x v="99"/>
    <x v="589"/>
  </r>
  <r>
    <x v="499"/>
    <x v="353"/>
    <x v="1"/>
    <x v="10"/>
    <x v="2"/>
    <x v="0"/>
    <x v="10"/>
    <x v="0"/>
    <x v="1"/>
    <x v="203"/>
    <x v="0"/>
    <x v="7"/>
    <x v="501"/>
    <x v="92"/>
    <x v="531"/>
  </r>
  <r>
    <x v="500"/>
    <x v="353"/>
    <x v="1"/>
    <x v="10"/>
    <x v="0"/>
    <x v="1"/>
    <x v="11"/>
    <x v="8"/>
    <x v="5"/>
    <x v="35"/>
    <x v="3"/>
    <x v="3"/>
    <x v="384"/>
    <x v="87"/>
    <x v="402"/>
  </r>
  <r>
    <x v="501"/>
    <x v="353"/>
    <x v="1"/>
    <x v="10"/>
    <x v="1"/>
    <x v="1"/>
    <x v="8"/>
    <x v="4"/>
    <x v="2"/>
    <x v="342"/>
    <x v="0"/>
    <x v="10"/>
    <x v="760"/>
    <x v="102"/>
    <x v="730"/>
  </r>
  <r>
    <x v="502"/>
    <x v="354"/>
    <x v="1"/>
    <x v="10"/>
    <x v="1"/>
    <x v="3"/>
    <x v="2"/>
    <x v="9"/>
    <x v="17"/>
    <x v="14"/>
    <x v="1"/>
    <x v="2"/>
    <x v="263"/>
    <x v="66"/>
    <x v="376"/>
  </r>
  <r>
    <x v="503"/>
    <x v="354"/>
    <x v="1"/>
    <x v="10"/>
    <x v="2"/>
    <x v="1"/>
    <x v="4"/>
    <x v="5"/>
    <x v="0"/>
    <x v="438"/>
    <x v="2"/>
    <x v="11"/>
    <x v="677"/>
    <x v="101"/>
    <x v="452"/>
  </r>
  <r>
    <x v="504"/>
    <x v="354"/>
    <x v="1"/>
    <x v="10"/>
    <x v="4"/>
    <x v="1"/>
    <x v="11"/>
    <x v="6"/>
    <x v="3"/>
    <x v="23"/>
    <x v="0"/>
    <x v="3"/>
    <x v="300"/>
    <x v="77"/>
    <x v="375"/>
  </r>
  <r>
    <x v="505"/>
    <x v="355"/>
    <x v="1"/>
    <x v="10"/>
    <x v="2"/>
    <x v="2"/>
    <x v="7"/>
    <x v="5"/>
    <x v="4"/>
    <x v="114"/>
    <x v="0"/>
    <x v="5"/>
    <x v="653"/>
    <x v="98"/>
    <x v="719"/>
  </r>
  <r>
    <x v="506"/>
    <x v="355"/>
    <x v="1"/>
    <x v="10"/>
    <x v="2"/>
    <x v="0"/>
    <x v="10"/>
    <x v="0"/>
    <x v="1"/>
    <x v="208"/>
    <x v="3"/>
    <x v="7"/>
    <x v="447"/>
    <x v="92"/>
    <x v="293"/>
  </r>
  <r>
    <x v="507"/>
    <x v="355"/>
    <x v="1"/>
    <x v="10"/>
    <x v="3"/>
    <x v="1"/>
    <x v="8"/>
    <x v="3"/>
    <x v="2"/>
    <x v="341"/>
    <x v="1"/>
    <x v="10"/>
    <x v="749"/>
    <x v="102"/>
    <x v="668"/>
  </r>
  <r>
    <x v="508"/>
    <x v="355"/>
    <x v="1"/>
    <x v="10"/>
    <x v="4"/>
    <x v="2"/>
    <x v="7"/>
    <x v="6"/>
    <x v="3"/>
    <x v="114"/>
    <x v="0"/>
    <x v="5"/>
    <x v="580"/>
    <x v="94"/>
    <x v="655"/>
  </r>
  <r>
    <x v="509"/>
    <x v="356"/>
    <x v="1"/>
    <x v="10"/>
    <x v="0"/>
    <x v="1"/>
    <x v="8"/>
    <x v="1"/>
    <x v="2"/>
    <x v="386"/>
    <x v="2"/>
    <x v="10"/>
    <x v="750"/>
    <x v="102"/>
    <x v="671"/>
  </r>
  <r>
    <x v="510"/>
    <x v="356"/>
    <x v="1"/>
    <x v="10"/>
    <x v="3"/>
    <x v="3"/>
    <x v="3"/>
    <x v="2"/>
    <x v="22"/>
    <x v="2"/>
    <x v="2"/>
    <x v="0"/>
    <x v="107"/>
    <x v="30"/>
    <x v="143"/>
  </r>
  <r>
    <x v="511"/>
    <x v="356"/>
    <x v="1"/>
    <x v="10"/>
    <x v="2"/>
    <x v="1"/>
    <x v="8"/>
    <x v="0"/>
    <x v="1"/>
    <x v="390"/>
    <x v="2"/>
    <x v="10"/>
    <x v="649"/>
    <x v="99"/>
    <x v="527"/>
  </r>
  <r>
    <x v="512"/>
    <x v="357"/>
    <x v="1"/>
    <x v="10"/>
    <x v="1"/>
    <x v="0"/>
    <x v="0"/>
    <x v="9"/>
    <x v="1"/>
    <x v="270"/>
    <x v="1"/>
    <x v="8"/>
    <x v="511"/>
    <x v="93"/>
    <x v="528"/>
  </r>
  <r>
    <x v="513"/>
    <x v="357"/>
    <x v="1"/>
    <x v="10"/>
    <x v="3"/>
    <x v="0"/>
    <x v="0"/>
    <x v="2"/>
    <x v="2"/>
    <x v="217"/>
    <x v="1"/>
    <x v="8"/>
    <x v="598"/>
    <x v="97"/>
    <x v="595"/>
  </r>
  <r>
    <x v="514"/>
    <x v="358"/>
    <x v="1"/>
    <x v="10"/>
    <x v="3"/>
    <x v="1"/>
    <x v="8"/>
    <x v="2"/>
    <x v="2"/>
    <x v="374"/>
    <x v="0"/>
    <x v="10"/>
    <x v="769"/>
    <x v="102"/>
    <x v="753"/>
  </r>
  <r>
    <x v="515"/>
    <x v="359"/>
    <x v="1"/>
    <x v="10"/>
    <x v="2"/>
    <x v="0"/>
    <x v="10"/>
    <x v="5"/>
    <x v="1"/>
    <x v="241"/>
    <x v="0"/>
    <x v="7"/>
    <x v="513"/>
    <x v="92"/>
    <x v="574"/>
  </r>
  <r>
    <x v="516"/>
    <x v="359"/>
    <x v="1"/>
    <x v="10"/>
    <x v="2"/>
    <x v="1"/>
    <x v="11"/>
    <x v="0"/>
    <x v="2"/>
    <x v="28"/>
    <x v="0"/>
    <x v="3"/>
    <x v="199"/>
    <x v="56"/>
    <x v="261"/>
  </r>
  <r>
    <x v="517"/>
    <x v="359"/>
    <x v="1"/>
    <x v="10"/>
    <x v="0"/>
    <x v="0"/>
    <x v="5"/>
    <x v="8"/>
    <x v="1"/>
    <x v="190"/>
    <x v="1"/>
    <x v="6"/>
    <x v="434"/>
    <x v="90"/>
    <x v="391"/>
  </r>
  <r>
    <x v="518"/>
    <x v="359"/>
    <x v="1"/>
    <x v="10"/>
    <x v="2"/>
    <x v="0"/>
    <x v="0"/>
    <x v="5"/>
    <x v="2"/>
    <x v="205"/>
    <x v="3"/>
    <x v="8"/>
    <x v="562"/>
    <x v="97"/>
    <x v="361"/>
  </r>
  <r>
    <x v="519"/>
    <x v="360"/>
    <x v="1"/>
    <x v="10"/>
    <x v="2"/>
    <x v="1"/>
    <x v="8"/>
    <x v="0"/>
    <x v="2"/>
    <x v="328"/>
    <x v="0"/>
    <x v="10"/>
    <x v="757"/>
    <x v="102"/>
    <x v="715"/>
  </r>
  <r>
    <x v="520"/>
    <x v="361"/>
    <x v="1"/>
    <x v="10"/>
    <x v="3"/>
    <x v="1"/>
    <x v="8"/>
    <x v="2"/>
    <x v="2"/>
    <x v="359"/>
    <x v="1"/>
    <x v="10"/>
    <x v="754"/>
    <x v="102"/>
    <x v="701"/>
  </r>
  <r>
    <x v="521"/>
    <x v="362"/>
    <x v="1"/>
    <x v="10"/>
    <x v="3"/>
    <x v="1"/>
    <x v="4"/>
    <x v="3"/>
    <x v="0"/>
    <x v="433"/>
    <x v="3"/>
    <x v="11"/>
    <x v="657"/>
    <x v="101"/>
    <x v="213"/>
  </r>
  <r>
    <x v="522"/>
    <x v="362"/>
    <x v="1"/>
    <x v="10"/>
    <x v="4"/>
    <x v="1"/>
    <x v="8"/>
    <x v="6"/>
    <x v="2"/>
    <x v="345"/>
    <x v="1"/>
    <x v="10"/>
    <x v="751"/>
    <x v="102"/>
    <x v="678"/>
  </r>
  <r>
    <x v="523"/>
    <x v="363"/>
    <x v="1"/>
    <x v="10"/>
    <x v="1"/>
    <x v="1"/>
    <x v="8"/>
    <x v="9"/>
    <x v="2"/>
    <x v="383"/>
    <x v="0"/>
    <x v="10"/>
    <x v="771"/>
    <x v="102"/>
    <x v="755"/>
  </r>
  <r>
    <x v="524"/>
    <x v="363"/>
    <x v="1"/>
    <x v="10"/>
    <x v="2"/>
    <x v="0"/>
    <x v="0"/>
    <x v="0"/>
    <x v="2"/>
    <x v="252"/>
    <x v="0"/>
    <x v="8"/>
    <x v="626"/>
    <x v="97"/>
    <x v="695"/>
  </r>
  <r>
    <x v="525"/>
    <x v="364"/>
    <x v="1"/>
    <x v="10"/>
    <x v="4"/>
    <x v="1"/>
    <x v="8"/>
    <x v="6"/>
    <x v="1"/>
    <x v="385"/>
    <x v="1"/>
    <x v="10"/>
    <x v="669"/>
    <x v="99"/>
    <x v="624"/>
  </r>
  <r>
    <x v="526"/>
    <x v="364"/>
    <x v="1"/>
    <x v="10"/>
    <x v="1"/>
    <x v="2"/>
    <x v="7"/>
    <x v="9"/>
    <x v="1"/>
    <x v="138"/>
    <x v="0"/>
    <x v="5"/>
    <x v="401"/>
    <x v="87"/>
    <x v="457"/>
  </r>
  <r>
    <x v="527"/>
    <x v="365"/>
    <x v="1"/>
    <x v="11"/>
    <x v="3"/>
    <x v="3"/>
    <x v="3"/>
    <x v="2"/>
    <x v="41"/>
    <x v="1"/>
    <x v="1"/>
    <x v="0"/>
    <x v="250"/>
    <x v="64"/>
    <x v="343"/>
  </r>
  <r>
    <x v="528"/>
    <x v="366"/>
    <x v="1"/>
    <x v="11"/>
    <x v="4"/>
    <x v="0"/>
    <x v="10"/>
    <x v="7"/>
    <x v="1"/>
    <x v="209"/>
    <x v="2"/>
    <x v="7"/>
    <x v="465"/>
    <x v="92"/>
    <x v="403"/>
  </r>
  <r>
    <x v="529"/>
    <x v="367"/>
    <x v="1"/>
    <x v="11"/>
    <x v="3"/>
    <x v="3"/>
    <x v="6"/>
    <x v="2"/>
    <x v="11"/>
    <x v="5"/>
    <x v="0"/>
    <x v="1"/>
    <x v="73"/>
    <x v="23"/>
    <x v="116"/>
  </r>
  <r>
    <x v="530"/>
    <x v="367"/>
    <x v="1"/>
    <x v="11"/>
    <x v="1"/>
    <x v="0"/>
    <x v="10"/>
    <x v="9"/>
    <x v="2"/>
    <x v="252"/>
    <x v="0"/>
    <x v="7"/>
    <x v="626"/>
    <x v="96"/>
    <x v="720"/>
  </r>
  <r>
    <x v="531"/>
    <x v="367"/>
    <x v="1"/>
    <x v="11"/>
    <x v="4"/>
    <x v="1"/>
    <x v="4"/>
    <x v="7"/>
    <x v="0"/>
    <x v="461"/>
    <x v="2"/>
    <x v="11"/>
    <x v="687"/>
    <x v="101"/>
    <x v="516"/>
  </r>
  <r>
    <x v="532"/>
    <x v="368"/>
    <x v="1"/>
    <x v="11"/>
    <x v="0"/>
    <x v="0"/>
    <x v="0"/>
    <x v="8"/>
    <x v="0"/>
    <x v="221"/>
    <x v="1"/>
    <x v="8"/>
    <x v="277"/>
    <x v="84"/>
    <x v="184"/>
  </r>
  <r>
    <x v="533"/>
    <x v="369"/>
    <x v="1"/>
    <x v="11"/>
    <x v="1"/>
    <x v="3"/>
    <x v="6"/>
    <x v="4"/>
    <x v="29"/>
    <x v="4"/>
    <x v="0"/>
    <x v="1"/>
    <x v="288"/>
    <x v="73"/>
    <x v="380"/>
  </r>
  <r>
    <x v="534"/>
    <x v="370"/>
    <x v="1"/>
    <x v="11"/>
    <x v="4"/>
    <x v="3"/>
    <x v="2"/>
    <x v="7"/>
    <x v="14"/>
    <x v="14"/>
    <x v="0"/>
    <x v="2"/>
    <x v="222"/>
    <x v="53"/>
    <x v="343"/>
  </r>
  <r>
    <x v="535"/>
    <x v="371"/>
    <x v="1"/>
    <x v="11"/>
    <x v="1"/>
    <x v="1"/>
    <x v="11"/>
    <x v="9"/>
    <x v="2"/>
    <x v="43"/>
    <x v="3"/>
    <x v="3"/>
    <x v="162"/>
    <x v="56"/>
    <x v="175"/>
  </r>
  <r>
    <x v="536"/>
    <x v="372"/>
    <x v="1"/>
    <x v="11"/>
    <x v="4"/>
    <x v="0"/>
    <x v="10"/>
    <x v="7"/>
    <x v="2"/>
    <x v="195"/>
    <x v="3"/>
    <x v="7"/>
    <x v="549"/>
    <x v="96"/>
    <x v="386"/>
  </r>
  <r>
    <x v="537"/>
    <x v="373"/>
    <x v="1"/>
    <x v="11"/>
    <x v="0"/>
    <x v="0"/>
    <x v="5"/>
    <x v="8"/>
    <x v="1"/>
    <x v="180"/>
    <x v="0"/>
    <x v="6"/>
    <x v="445"/>
    <x v="90"/>
    <x v="439"/>
  </r>
  <r>
    <x v="538"/>
    <x v="373"/>
    <x v="1"/>
    <x v="11"/>
    <x v="3"/>
    <x v="2"/>
    <x v="7"/>
    <x v="3"/>
    <x v="2"/>
    <x v="119"/>
    <x v="0"/>
    <x v="5"/>
    <x v="509"/>
    <x v="92"/>
    <x v="557"/>
  </r>
  <r>
    <x v="539"/>
    <x v="373"/>
    <x v="1"/>
    <x v="11"/>
    <x v="2"/>
    <x v="1"/>
    <x v="4"/>
    <x v="5"/>
    <x v="0"/>
    <x v="415"/>
    <x v="0"/>
    <x v="11"/>
    <x v="706"/>
    <x v="101"/>
    <x v="621"/>
  </r>
  <r>
    <x v="540"/>
    <x v="374"/>
    <x v="1"/>
    <x v="11"/>
    <x v="3"/>
    <x v="2"/>
    <x v="1"/>
    <x v="2"/>
    <x v="0"/>
    <x v="73"/>
    <x v="0"/>
    <x v="4"/>
    <x v="111"/>
    <x v="37"/>
    <x v="118"/>
  </r>
  <r>
    <x v="541"/>
    <x v="375"/>
    <x v="1"/>
    <x v="11"/>
    <x v="4"/>
    <x v="1"/>
    <x v="4"/>
    <x v="6"/>
    <x v="0"/>
    <x v="427"/>
    <x v="2"/>
    <x v="11"/>
    <x v="675"/>
    <x v="101"/>
    <x v="405"/>
  </r>
  <r>
    <x v="542"/>
    <x v="376"/>
    <x v="1"/>
    <x v="11"/>
    <x v="2"/>
    <x v="3"/>
    <x v="6"/>
    <x v="5"/>
    <x v="9"/>
    <x v="6"/>
    <x v="2"/>
    <x v="1"/>
    <x v="52"/>
    <x v="18"/>
    <x v="58"/>
  </r>
  <r>
    <x v="543"/>
    <x v="376"/>
    <x v="1"/>
    <x v="11"/>
    <x v="4"/>
    <x v="2"/>
    <x v="1"/>
    <x v="6"/>
    <x v="1"/>
    <x v="87"/>
    <x v="0"/>
    <x v="4"/>
    <x v="300"/>
    <x v="79"/>
    <x v="341"/>
  </r>
  <r>
    <x v="544"/>
    <x v="376"/>
    <x v="1"/>
    <x v="11"/>
    <x v="3"/>
    <x v="3"/>
    <x v="6"/>
    <x v="3"/>
    <x v="11"/>
    <x v="5"/>
    <x v="1"/>
    <x v="1"/>
    <x v="67"/>
    <x v="23"/>
    <x v="95"/>
  </r>
  <r>
    <x v="545"/>
    <x v="377"/>
    <x v="1"/>
    <x v="11"/>
    <x v="3"/>
    <x v="1"/>
    <x v="8"/>
    <x v="2"/>
    <x v="0"/>
    <x v="377"/>
    <x v="0"/>
    <x v="10"/>
    <x v="471"/>
    <x v="92"/>
    <x v="434"/>
  </r>
  <r>
    <x v="546"/>
    <x v="378"/>
    <x v="1"/>
    <x v="11"/>
    <x v="2"/>
    <x v="3"/>
    <x v="6"/>
    <x v="0"/>
    <x v="11"/>
    <x v="6"/>
    <x v="0"/>
    <x v="1"/>
    <x v="77"/>
    <x v="23"/>
    <x v="126"/>
  </r>
  <r>
    <x v="547"/>
    <x v="379"/>
    <x v="1"/>
    <x v="11"/>
    <x v="3"/>
    <x v="1"/>
    <x v="8"/>
    <x v="2"/>
    <x v="1"/>
    <x v="371"/>
    <x v="1"/>
    <x v="10"/>
    <x v="661"/>
    <x v="99"/>
    <x v="601"/>
  </r>
  <r>
    <x v="548"/>
    <x v="379"/>
    <x v="1"/>
    <x v="11"/>
    <x v="4"/>
    <x v="3"/>
    <x v="2"/>
    <x v="6"/>
    <x v="14"/>
    <x v="12"/>
    <x v="1"/>
    <x v="2"/>
    <x v="190"/>
    <x v="53"/>
    <x v="265"/>
  </r>
  <r>
    <x v="549"/>
    <x v="379"/>
    <x v="1"/>
    <x v="11"/>
    <x v="2"/>
    <x v="3"/>
    <x v="3"/>
    <x v="5"/>
    <x v="46"/>
    <x v="1"/>
    <x v="3"/>
    <x v="0"/>
    <x v="265"/>
    <x v="76"/>
    <x v="290"/>
  </r>
  <r>
    <x v="550"/>
    <x v="380"/>
    <x v="1"/>
    <x v="11"/>
    <x v="2"/>
    <x v="1"/>
    <x v="11"/>
    <x v="0"/>
    <x v="4"/>
    <x v="41"/>
    <x v="0"/>
    <x v="3"/>
    <x v="383"/>
    <x v="86"/>
    <x v="518"/>
  </r>
  <r>
    <x v="551"/>
    <x v="381"/>
    <x v="1"/>
    <x v="11"/>
    <x v="1"/>
    <x v="1"/>
    <x v="11"/>
    <x v="9"/>
    <x v="0"/>
    <x v="29"/>
    <x v="0"/>
    <x v="3"/>
    <x v="42"/>
    <x v="13"/>
    <x v="47"/>
  </r>
  <r>
    <x v="552"/>
    <x v="381"/>
    <x v="1"/>
    <x v="11"/>
    <x v="3"/>
    <x v="1"/>
    <x v="8"/>
    <x v="3"/>
    <x v="1"/>
    <x v="331"/>
    <x v="3"/>
    <x v="10"/>
    <x v="603"/>
    <x v="99"/>
    <x v="162"/>
  </r>
  <r>
    <x v="553"/>
    <x v="382"/>
    <x v="1"/>
    <x v="11"/>
    <x v="1"/>
    <x v="1"/>
    <x v="11"/>
    <x v="9"/>
    <x v="2"/>
    <x v="41"/>
    <x v="0"/>
    <x v="3"/>
    <x v="214"/>
    <x v="56"/>
    <x v="307"/>
  </r>
  <r>
    <x v="554"/>
    <x v="383"/>
    <x v="1"/>
    <x v="11"/>
    <x v="3"/>
    <x v="0"/>
    <x v="0"/>
    <x v="3"/>
    <x v="2"/>
    <x v="256"/>
    <x v="1"/>
    <x v="8"/>
    <x v="614"/>
    <x v="97"/>
    <x v="647"/>
  </r>
  <r>
    <x v="555"/>
    <x v="384"/>
    <x v="1"/>
    <x v="11"/>
    <x v="3"/>
    <x v="1"/>
    <x v="11"/>
    <x v="2"/>
    <x v="5"/>
    <x v="27"/>
    <x v="1"/>
    <x v="3"/>
    <x v="408"/>
    <x v="87"/>
    <x v="499"/>
  </r>
  <r>
    <x v="556"/>
    <x v="384"/>
    <x v="1"/>
    <x v="11"/>
    <x v="4"/>
    <x v="1"/>
    <x v="8"/>
    <x v="7"/>
    <x v="2"/>
    <x v="391"/>
    <x v="3"/>
    <x v="10"/>
    <x v="741"/>
    <x v="102"/>
    <x v="551"/>
  </r>
  <r>
    <x v="557"/>
    <x v="384"/>
    <x v="1"/>
    <x v="11"/>
    <x v="3"/>
    <x v="0"/>
    <x v="5"/>
    <x v="2"/>
    <x v="2"/>
    <x v="141"/>
    <x v="0"/>
    <x v="6"/>
    <x v="537"/>
    <x v="94"/>
    <x v="480"/>
  </r>
  <r>
    <x v="558"/>
    <x v="385"/>
    <x v="1"/>
    <x v="11"/>
    <x v="2"/>
    <x v="2"/>
    <x v="1"/>
    <x v="0"/>
    <x v="0"/>
    <x v="74"/>
    <x v="0"/>
    <x v="4"/>
    <x v="114"/>
    <x v="37"/>
    <x v="119"/>
  </r>
  <r>
    <x v="559"/>
    <x v="385"/>
    <x v="1"/>
    <x v="11"/>
    <x v="2"/>
    <x v="1"/>
    <x v="4"/>
    <x v="5"/>
    <x v="0"/>
    <x v="449"/>
    <x v="1"/>
    <x v="11"/>
    <x v="701"/>
    <x v="101"/>
    <x v="597"/>
  </r>
  <r>
    <x v="560"/>
    <x v="386"/>
    <x v="2"/>
    <x v="0"/>
    <x v="2"/>
    <x v="1"/>
    <x v="4"/>
    <x v="0"/>
    <x v="0"/>
    <x v="452"/>
    <x v="0"/>
    <x v="11"/>
    <x v="723"/>
    <x v="101"/>
    <x v="681"/>
  </r>
  <r>
    <x v="561"/>
    <x v="387"/>
    <x v="2"/>
    <x v="0"/>
    <x v="0"/>
    <x v="1"/>
    <x v="8"/>
    <x v="8"/>
    <x v="1"/>
    <x v="363"/>
    <x v="0"/>
    <x v="10"/>
    <x v="674"/>
    <x v="99"/>
    <x v="658"/>
  </r>
  <r>
    <x v="562"/>
    <x v="387"/>
    <x v="2"/>
    <x v="0"/>
    <x v="2"/>
    <x v="3"/>
    <x v="6"/>
    <x v="0"/>
    <x v="22"/>
    <x v="6"/>
    <x v="0"/>
    <x v="1"/>
    <x v="205"/>
    <x v="54"/>
    <x v="309"/>
  </r>
  <r>
    <x v="563"/>
    <x v="388"/>
    <x v="2"/>
    <x v="0"/>
    <x v="3"/>
    <x v="2"/>
    <x v="1"/>
    <x v="3"/>
    <x v="1"/>
    <x v="68"/>
    <x v="0"/>
    <x v="4"/>
    <x v="281"/>
    <x v="79"/>
    <x v="278"/>
  </r>
  <r>
    <x v="564"/>
    <x v="389"/>
    <x v="2"/>
    <x v="0"/>
    <x v="3"/>
    <x v="1"/>
    <x v="11"/>
    <x v="2"/>
    <x v="4"/>
    <x v="41"/>
    <x v="0"/>
    <x v="3"/>
    <x v="383"/>
    <x v="86"/>
    <x v="518"/>
  </r>
  <r>
    <x v="565"/>
    <x v="389"/>
    <x v="2"/>
    <x v="0"/>
    <x v="0"/>
    <x v="0"/>
    <x v="5"/>
    <x v="8"/>
    <x v="1"/>
    <x v="149"/>
    <x v="0"/>
    <x v="6"/>
    <x v="427"/>
    <x v="90"/>
    <x v="341"/>
  </r>
  <r>
    <x v="566"/>
    <x v="389"/>
    <x v="2"/>
    <x v="0"/>
    <x v="2"/>
    <x v="0"/>
    <x v="5"/>
    <x v="5"/>
    <x v="1"/>
    <x v="186"/>
    <x v="1"/>
    <x v="6"/>
    <x v="432"/>
    <x v="90"/>
    <x v="384"/>
  </r>
  <r>
    <x v="567"/>
    <x v="390"/>
    <x v="2"/>
    <x v="0"/>
    <x v="3"/>
    <x v="3"/>
    <x v="2"/>
    <x v="2"/>
    <x v="2"/>
    <x v="11"/>
    <x v="0"/>
    <x v="2"/>
    <x v="11"/>
    <x v="3"/>
    <x v="13"/>
  </r>
  <r>
    <x v="568"/>
    <x v="391"/>
    <x v="2"/>
    <x v="0"/>
    <x v="2"/>
    <x v="1"/>
    <x v="11"/>
    <x v="5"/>
    <x v="4"/>
    <x v="36"/>
    <x v="0"/>
    <x v="3"/>
    <x v="377"/>
    <x v="86"/>
    <x v="501"/>
  </r>
  <r>
    <x v="569"/>
    <x v="391"/>
    <x v="2"/>
    <x v="0"/>
    <x v="2"/>
    <x v="3"/>
    <x v="3"/>
    <x v="0"/>
    <x v="42"/>
    <x v="1"/>
    <x v="1"/>
    <x v="0"/>
    <x v="266"/>
    <x v="68"/>
    <x v="366"/>
  </r>
  <r>
    <x v="570"/>
    <x v="391"/>
    <x v="2"/>
    <x v="0"/>
    <x v="4"/>
    <x v="2"/>
    <x v="9"/>
    <x v="7"/>
    <x v="1"/>
    <x v="318"/>
    <x v="0"/>
    <x v="9"/>
    <x v="591"/>
    <x v="95"/>
    <x v="664"/>
  </r>
  <r>
    <x v="571"/>
    <x v="392"/>
    <x v="2"/>
    <x v="0"/>
    <x v="4"/>
    <x v="2"/>
    <x v="9"/>
    <x v="6"/>
    <x v="0"/>
    <x v="306"/>
    <x v="1"/>
    <x v="9"/>
    <x v="366"/>
    <x v="88"/>
    <x v="302"/>
  </r>
  <r>
    <x v="572"/>
    <x v="392"/>
    <x v="2"/>
    <x v="0"/>
    <x v="3"/>
    <x v="3"/>
    <x v="6"/>
    <x v="2"/>
    <x v="24"/>
    <x v="5"/>
    <x v="0"/>
    <x v="1"/>
    <x v="232"/>
    <x v="59"/>
    <x v="320"/>
  </r>
  <r>
    <x v="573"/>
    <x v="392"/>
    <x v="2"/>
    <x v="0"/>
    <x v="2"/>
    <x v="0"/>
    <x v="10"/>
    <x v="0"/>
    <x v="2"/>
    <x v="200"/>
    <x v="0"/>
    <x v="7"/>
    <x v="607"/>
    <x v="96"/>
    <x v="672"/>
  </r>
  <r>
    <x v="574"/>
    <x v="393"/>
    <x v="2"/>
    <x v="0"/>
    <x v="0"/>
    <x v="3"/>
    <x v="3"/>
    <x v="8"/>
    <x v="36"/>
    <x v="2"/>
    <x v="3"/>
    <x v="0"/>
    <x v="180"/>
    <x v="55"/>
    <x v="221"/>
  </r>
  <r>
    <x v="575"/>
    <x v="393"/>
    <x v="2"/>
    <x v="0"/>
    <x v="4"/>
    <x v="3"/>
    <x v="6"/>
    <x v="6"/>
    <x v="8"/>
    <x v="3"/>
    <x v="2"/>
    <x v="1"/>
    <x v="44"/>
    <x v="15"/>
    <x v="28"/>
  </r>
  <r>
    <x v="576"/>
    <x v="393"/>
    <x v="2"/>
    <x v="0"/>
    <x v="1"/>
    <x v="1"/>
    <x v="4"/>
    <x v="9"/>
    <x v="0"/>
    <x v="475"/>
    <x v="1"/>
    <x v="11"/>
    <x v="715"/>
    <x v="101"/>
    <x v="650"/>
  </r>
  <r>
    <x v="577"/>
    <x v="394"/>
    <x v="2"/>
    <x v="0"/>
    <x v="4"/>
    <x v="2"/>
    <x v="7"/>
    <x v="7"/>
    <x v="4"/>
    <x v="95"/>
    <x v="0"/>
    <x v="5"/>
    <x v="636"/>
    <x v="98"/>
    <x v="691"/>
  </r>
  <r>
    <x v="578"/>
    <x v="394"/>
    <x v="2"/>
    <x v="0"/>
    <x v="2"/>
    <x v="1"/>
    <x v="8"/>
    <x v="0"/>
    <x v="1"/>
    <x v="370"/>
    <x v="2"/>
    <x v="10"/>
    <x v="640"/>
    <x v="99"/>
    <x v="494"/>
  </r>
  <r>
    <x v="579"/>
    <x v="395"/>
    <x v="2"/>
    <x v="0"/>
    <x v="3"/>
    <x v="0"/>
    <x v="0"/>
    <x v="2"/>
    <x v="1"/>
    <x v="222"/>
    <x v="2"/>
    <x v="8"/>
    <x v="469"/>
    <x v="93"/>
    <x v="352"/>
  </r>
  <r>
    <x v="580"/>
    <x v="395"/>
    <x v="2"/>
    <x v="0"/>
    <x v="1"/>
    <x v="1"/>
    <x v="8"/>
    <x v="9"/>
    <x v="2"/>
    <x v="348"/>
    <x v="0"/>
    <x v="10"/>
    <x v="762"/>
    <x v="102"/>
    <x v="732"/>
  </r>
  <r>
    <x v="581"/>
    <x v="396"/>
    <x v="2"/>
    <x v="0"/>
    <x v="2"/>
    <x v="1"/>
    <x v="8"/>
    <x v="5"/>
    <x v="1"/>
    <x v="330"/>
    <x v="1"/>
    <x v="10"/>
    <x v="639"/>
    <x v="99"/>
    <x v="493"/>
  </r>
  <r>
    <x v="582"/>
    <x v="397"/>
    <x v="2"/>
    <x v="0"/>
    <x v="1"/>
    <x v="1"/>
    <x v="8"/>
    <x v="4"/>
    <x v="0"/>
    <x v="380"/>
    <x v="0"/>
    <x v="10"/>
    <x v="473"/>
    <x v="92"/>
    <x v="437"/>
  </r>
  <r>
    <x v="583"/>
    <x v="398"/>
    <x v="2"/>
    <x v="0"/>
    <x v="2"/>
    <x v="3"/>
    <x v="3"/>
    <x v="5"/>
    <x v="7"/>
    <x v="2"/>
    <x v="0"/>
    <x v="0"/>
    <x v="16"/>
    <x v="5"/>
    <x v="25"/>
  </r>
  <r>
    <x v="584"/>
    <x v="399"/>
    <x v="2"/>
    <x v="1"/>
    <x v="2"/>
    <x v="1"/>
    <x v="8"/>
    <x v="0"/>
    <x v="2"/>
    <x v="340"/>
    <x v="1"/>
    <x v="10"/>
    <x v="748"/>
    <x v="102"/>
    <x v="666"/>
  </r>
  <r>
    <x v="585"/>
    <x v="400"/>
    <x v="2"/>
    <x v="1"/>
    <x v="4"/>
    <x v="2"/>
    <x v="1"/>
    <x v="7"/>
    <x v="0"/>
    <x v="53"/>
    <x v="2"/>
    <x v="4"/>
    <x v="80"/>
    <x v="37"/>
    <x v="41"/>
  </r>
  <r>
    <x v="586"/>
    <x v="401"/>
    <x v="2"/>
    <x v="1"/>
    <x v="2"/>
    <x v="3"/>
    <x v="6"/>
    <x v="5"/>
    <x v="32"/>
    <x v="5"/>
    <x v="0"/>
    <x v="1"/>
    <x v="334"/>
    <x v="78"/>
    <x v="443"/>
  </r>
  <r>
    <x v="587"/>
    <x v="402"/>
    <x v="2"/>
    <x v="1"/>
    <x v="3"/>
    <x v="1"/>
    <x v="4"/>
    <x v="3"/>
    <x v="0"/>
    <x v="417"/>
    <x v="1"/>
    <x v="11"/>
    <x v="688"/>
    <x v="101"/>
    <x v="523"/>
  </r>
  <r>
    <x v="588"/>
    <x v="403"/>
    <x v="2"/>
    <x v="1"/>
    <x v="3"/>
    <x v="0"/>
    <x v="0"/>
    <x v="3"/>
    <x v="2"/>
    <x v="269"/>
    <x v="0"/>
    <x v="8"/>
    <x v="637"/>
    <x v="97"/>
    <x v="717"/>
  </r>
  <r>
    <x v="589"/>
    <x v="404"/>
    <x v="2"/>
    <x v="1"/>
    <x v="0"/>
    <x v="2"/>
    <x v="1"/>
    <x v="8"/>
    <x v="2"/>
    <x v="76"/>
    <x v="1"/>
    <x v="4"/>
    <x v="404"/>
    <x v="89"/>
    <x v="433"/>
  </r>
  <r>
    <x v="590"/>
    <x v="405"/>
    <x v="2"/>
    <x v="1"/>
    <x v="2"/>
    <x v="2"/>
    <x v="7"/>
    <x v="0"/>
    <x v="3"/>
    <x v="101"/>
    <x v="1"/>
    <x v="5"/>
    <x v="554"/>
    <x v="94"/>
    <x v="563"/>
  </r>
  <r>
    <x v="591"/>
    <x v="406"/>
    <x v="2"/>
    <x v="1"/>
    <x v="2"/>
    <x v="2"/>
    <x v="7"/>
    <x v="5"/>
    <x v="2"/>
    <x v="128"/>
    <x v="0"/>
    <x v="5"/>
    <x v="516"/>
    <x v="92"/>
    <x v="586"/>
  </r>
  <r>
    <x v="592"/>
    <x v="407"/>
    <x v="2"/>
    <x v="1"/>
    <x v="3"/>
    <x v="3"/>
    <x v="6"/>
    <x v="3"/>
    <x v="19"/>
    <x v="5"/>
    <x v="0"/>
    <x v="1"/>
    <x v="157"/>
    <x v="45"/>
    <x v="231"/>
  </r>
  <r>
    <x v="593"/>
    <x v="408"/>
    <x v="2"/>
    <x v="1"/>
    <x v="4"/>
    <x v="3"/>
    <x v="6"/>
    <x v="6"/>
    <x v="15"/>
    <x v="7"/>
    <x v="3"/>
    <x v="1"/>
    <x v="105"/>
    <x v="34"/>
    <x v="113"/>
  </r>
  <r>
    <x v="594"/>
    <x v="408"/>
    <x v="2"/>
    <x v="1"/>
    <x v="2"/>
    <x v="0"/>
    <x v="5"/>
    <x v="5"/>
    <x v="1"/>
    <x v="158"/>
    <x v="0"/>
    <x v="6"/>
    <x v="430"/>
    <x v="90"/>
    <x v="366"/>
  </r>
  <r>
    <x v="595"/>
    <x v="409"/>
    <x v="2"/>
    <x v="1"/>
    <x v="2"/>
    <x v="0"/>
    <x v="10"/>
    <x v="0"/>
    <x v="1"/>
    <x v="248"/>
    <x v="0"/>
    <x v="7"/>
    <x v="517"/>
    <x v="92"/>
    <x v="587"/>
  </r>
  <r>
    <x v="596"/>
    <x v="410"/>
    <x v="2"/>
    <x v="1"/>
    <x v="4"/>
    <x v="1"/>
    <x v="11"/>
    <x v="6"/>
    <x v="0"/>
    <x v="45"/>
    <x v="1"/>
    <x v="3"/>
    <x v="41"/>
    <x v="13"/>
    <x v="46"/>
  </r>
  <r>
    <x v="597"/>
    <x v="410"/>
    <x v="2"/>
    <x v="1"/>
    <x v="4"/>
    <x v="3"/>
    <x v="6"/>
    <x v="6"/>
    <x v="21"/>
    <x v="7"/>
    <x v="1"/>
    <x v="1"/>
    <x v="181"/>
    <x v="51"/>
    <x v="256"/>
  </r>
  <r>
    <x v="598"/>
    <x v="411"/>
    <x v="2"/>
    <x v="1"/>
    <x v="0"/>
    <x v="3"/>
    <x v="6"/>
    <x v="8"/>
    <x v="25"/>
    <x v="5"/>
    <x v="1"/>
    <x v="1"/>
    <x v="228"/>
    <x v="62"/>
    <x v="286"/>
  </r>
  <r>
    <x v="599"/>
    <x v="411"/>
    <x v="2"/>
    <x v="1"/>
    <x v="4"/>
    <x v="1"/>
    <x v="4"/>
    <x v="7"/>
    <x v="0"/>
    <x v="469"/>
    <x v="1"/>
    <x v="11"/>
    <x v="710"/>
    <x v="101"/>
    <x v="633"/>
  </r>
  <r>
    <x v="600"/>
    <x v="412"/>
    <x v="2"/>
    <x v="1"/>
    <x v="3"/>
    <x v="3"/>
    <x v="2"/>
    <x v="3"/>
    <x v="10"/>
    <x v="11"/>
    <x v="1"/>
    <x v="2"/>
    <x v="129"/>
    <x v="36"/>
    <x v="167"/>
  </r>
  <r>
    <x v="601"/>
    <x v="412"/>
    <x v="2"/>
    <x v="1"/>
    <x v="2"/>
    <x v="3"/>
    <x v="3"/>
    <x v="0"/>
    <x v="44"/>
    <x v="1"/>
    <x v="0"/>
    <x v="0"/>
    <x v="309"/>
    <x v="72"/>
    <x v="435"/>
  </r>
  <r>
    <x v="602"/>
    <x v="413"/>
    <x v="2"/>
    <x v="1"/>
    <x v="4"/>
    <x v="0"/>
    <x v="0"/>
    <x v="6"/>
    <x v="2"/>
    <x v="248"/>
    <x v="1"/>
    <x v="8"/>
    <x v="608"/>
    <x v="97"/>
    <x v="634"/>
  </r>
  <r>
    <x v="603"/>
    <x v="413"/>
    <x v="2"/>
    <x v="1"/>
    <x v="4"/>
    <x v="1"/>
    <x v="8"/>
    <x v="6"/>
    <x v="0"/>
    <x v="346"/>
    <x v="1"/>
    <x v="10"/>
    <x v="440"/>
    <x v="92"/>
    <x v="251"/>
  </r>
  <r>
    <x v="604"/>
    <x v="414"/>
    <x v="2"/>
    <x v="1"/>
    <x v="0"/>
    <x v="0"/>
    <x v="0"/>
    <x v="1"/>
    <x v="1"/>
    <x v="264"/>
    <x v="0"/>
    <x v="8"/>
    <x v="522"/>
    <x v="93"/>
    <x v="568"/>
  </r>
  <r>
    <x v="605"/>
    <x v="415"/>
    <x v="2"/>
    <x v="2"/>
    <x v="2"/>
    <x v="1"/>
    <x v="8"/>
    <x v="5"/>
    <x v="0"/>
    <x v="375"/>
    <x v="1"/>
    <x v="10"/>
    <x v="453"/>
    <x v="92"/>
    <x v="332"/>
  </r>
  <r>
    <x v="606"/>
    <x v="416"/>
    <x v="2"/>
    <x v="2"/>
    <x v="4"/>
    <x v="1"/>
    <x v="11"/>
    <x v="6"/>
    <x v="3"/>
    <x v="30"/>
    <x v="0"/>
    <x v="3"/>
    <x v="311"/>
    <x v="77"/>
    <x v="396"/>
  </r>
  <r>
    <x v="607"/>
    <x v="416"/>
    <x v="2"/>
    <x v="2"/>
    <x v="2"/>
    <x v="3"/>
    <x v="6"/>
    <x v="0"/>
    <x v="23"/>
    <x v="5"/>
    <x v="1"/>
    <x v="1"/>
    <x v="195"/>
    <x v="56"/>
    <x v="248"/>
  </r>
  <r>
    <x v="608"/>
    <x v="416"/>
    <x v="2"/>
    <x v="2"/>
    <x v="2"/>
    <x v="3"/>
    <x v="6"/>
    <x v="5"/>
    <x v="13"/>
    <x v="7"/>
    <x v="0"/>
    <x v="1"/>
    <x v="109"/>
    <x v="29"/>
    <x v="164"/>
  </r>
  <r>
    <x v="609"/>
    <x v="417"/>
    <x v="2"/>
    <x v="2"/>
    <x v="3"/>
    <x v="3"/>
    <x v="6"/>
    <x v="3"/>
    <x v="5"/>
    <x v="3"/>
    <x v="0"/>
    <x v="1"/>
    <x v="19"/>
    <x v="7"/>
    <x v="19"/>
  </r>
  <r>
    <x v="610"/>
    <x v="417"/>
    <x v="2"/>
    <x v="2"/>
    <x v="3"/>
    <x v="3"/>
    <x v="6"/>
    <x v="3"/>
    <x v="26"/>
    <x v="5"/>
    <x v="0"/>
    <x v="1"/>
    <x v="256"/>
    <x v="65"/>
    <x v="356"/>
  </r>
  <r>
    <x v="611"/>
    <x v="418"/>
    <x v="2"/>
    <x v="2"/>
    <x v="0"/>
    <x v="2"/>
    <x v="7"/>
    <x v="1"/>
    <x v="2"/>
    <x v="105"/>
    <x v="2"/>
    <x v="5"/>
    <x v="463"/>
    <x v="92"/>
    <x v="397"/>
  </r>
  <r>
    <x v="612"/>
    <x v="419"/>
    <x v="2"/>
    <x v="2"/>
    <x v="4"/>
    <x v="0"/>
    <x v="0"/>
    <x v="6"/>
    <x v="1"/>
    <x v="262"/>
    <x v="0"/>
    <x v="8"/>
    <x v="521"/>
    <x v="93"/>
    <x v="565"/>
  </r>
  <r>
    <x v="613"/>
    <x v="419"/>
    <x v="2"/>
    <x v="2"/>
    <x v="3"/>
    <x v="2"/>
    <x v="1"/>
    <x v="2"/>
    <x v="3"/>
    <x v="62"/>
    <x v="2"/>
    <x v="4"/>
    <x v="450"/>
    <x v="91"/>
    <x v="414"/>
  </r>
  <r>
    <x v="614"/>
    <x v="420"/>
    <x v="2"/>
    <x v="2"/>
    <x v="2"/>
    <x v="3"/>
    <x v="3"/>
    <x v="5"/>
    <x v="44"/>
    <x v="0"/>
    <x v="1"/>
    <x v="0"/>
    <x v="270"/>
    <x v="72"/>
    <x v="345"/>
  </r>
  <r>
    <x v="615"/>
    <x v="420"/>
    <x v="2"/>
    <x v="2"/>
    <x v="0"/>
    <x v="1"/>
    <x v="11"/>
    <x v="8"/>
    <x v="2"/>
    <x v="21"/>
    <x v="2"/>
    <x v="3"/>
    <x v="161"/>
    <x v="56"/>
    <x v="168"/>
  </r>
  <r>
    <x v="616"/>
    <x v="420"/>
    <x v="2"/>
    <x v="2"/>
    <x v="2"/>
    <x v="2"/>
    <x v="7"/>
    <x v="5"/>
    <x v="4"/>
    <x v="120"/>
    <x v="3"/>
    <x v="5"/>
    <x v="600"/>
    <x v="98"/>
    <x v="536"/>
  </r>
  <r>
    <x v="617"/>
    <x v="420"/>
    <x v="2"/>
    <x v="2"/>
    <x v="1"/>
    <x v="0"/>
    <x v="5"/>
    <x v="9"/>
    <x v="1"/>
    <x v="182"/>
    <x v="3"/>
    <x v="6"/>
    <x v="405"/>
    <x v="90"/>
    <x v="183"/>
  </r>
  <r>
    <x v="618"/>
    <x v="421"/>
    <x v="2"/>
    <x v="2"/>
    <x v="0"/>
    <x v="1"/>
    <x v="11"/>
    <x v="1"/>
    <x v="3"/>
    <x v="15"/>
    <x v="1"/>
    <x v="3"/>
    <x v="268"/>
    <x v="77"/>
    <x v="289"/>
  </r>
  <r>
    <x v="619"/>
    <x v="421"/>
    <x v="2"/>
    <x v="2"/>
    <x v="0"/>
    <x v="0"/>
    <x v="0"/>
    <x v="1"/>
    <x v="0"/>
    <x v="238"/>
    <x v="1"/>
    <x v="8"/>
    <x v="285"/>
    <x v="84"/>
    <x v="196"/>
  </r>
  <r>
    <x v="620"/>
    <x v="422"/>
    <x v="2"/>
    <x v="2"/>
    <x v="2"/>
    <x v="3"/>
    <x v="6"/>
    <x v="5"/>
    <x v="8"/>
    <x v="4"/>
    <x v="1"/>
    <x v="1"/>
    <x v="50"/>
    <x v="15"/>
    <x v="50"/>
  </r>
  <r>
    <x v="621"/>
    <x v="422"/>
    <x v="2"/>
    <x v="2"/>
    <x v="3"/>
    <x v="2"/>
    <x v="1"/>
    <x v="3"/>
    <x v="0"/>
    <x v="56"/>
    <x v="3"/>
    <x v="4"/>
    <x v="72"/>
    <x v="37"/>
    <x v="21"/>
  </r>
  <r>
    <x v="622"/>
    <x v="423"/>
    <x v="2"/>
    <x v="2"/>
    <x v="0"/>
    <x v="1"/>
    <x v="8"/>
    <x v="1"/>
    <x v="1"/>
    <x v="372"/>
    <x v="2"/>
    <x v="10"/>
    <x v="643"/>
    <x v="99"/>
    <x v="503"/>
  </r>
  <r>
    <x v="623"/>
    <x v="424"/>
    <x v="2"/>
    <x v="2"/>
    <x v="2"/>
    <x v="1"/>
    <x v="4"/>
    <x v="5"/>
    <x v="1"/>
    <x v="466"/>
    <x v="1"/>
    <x v="11"/>
    <x v="797"/>
    <x v="103"/>
    <x v="764"/>
  </r>
  <r>
    <x v="624"/>
    <x v="424"/>
    <x v="2"/>
    <x v="2"/>
    <x v="3"/>
    <x v="2"/>
    <x v="1"/>
    <x v="2"/>
    <x v="2"/>
    <x v="48"/>
    <x v="0"/>
    <x v="4"/>
    <x v="394"/>
    <x v="89"/>
    <x v="399"/>
  </r>
  <r>
    <x v="625"/>
    <x v="425"/>
    <x v="2"/>
    <x v="2"/>
    <x v="4"/>
    <x v="2"/>
    <x v="1"/>
    <x v="6"/>
    <x v="2"/>
    <x v="58"/>
    <x v="0"/>
    <x v="4"/>
    <x v="403"/>
    <x v="89"/>
    <x v="431"/>
  </r>
  <r>
    <x v="626"/>
    <x v="426"/>
    <x v="2"/>
    <x v="2"/>
    <x v="1"/>
    <x v="2"/>
    <x v="7"/>
    <x v="9"/>
    <x v="3"/>
    <x v="126"/>
    <x v="1"/>
    <x v="5"/>
    <x v="569"/>
    <x v="94"/>
    <x v="632"/>
  </r>
  <r>
    <x v="627"/>
    <x v="427"/>
    <x v="2"/>
    <x v="2"/>
    <x v="2"/>
    <x v="0"/>
    <x v="5"/>
    <x v="0"/>
    <x v="1"/>
    <x v="169"/>
    <x v="1"/>
    <x v="6"/>
    <x v="420"/>
    <x v="90"/>
    <x v="312"/>
  </r>
  <r>
    <x v="628"/>
    <x v="427"/>
    <x v="2"/>
    <x v="2"/>
    <x v="4"/>
    <x v="3"/>
    <x v="3"/>
    <x v="6"/>
    <x v="46"/>
    <x v="2"/>
    <x v="1"/>
    <x v="0"/>
    <x v="323"/>
    <x v="76"/>
    <x v="442"/>
  </r>
  <r>
    <x v="629"/>
    <x v="428"/>
    <x v="2"/>
    <x v="2"/>
    <x v="3"/>
    <x v="0"/>
    <x v="0"/>
    <x v="2"/>
    <x v="0"/>
    <x v="277"/>
    <x v="1"/>
    <x v="8"/>
    <x v="312"/>
    <x v="84"/>
    <x v="266"/>
  </r>
  <r>
    <x v="630"/>
    <x v="429"/>
    <x v="2"/>
    <x v="2"/>
    <x v="1"/>
    <x v="1"/>
    <x v="4"/>
    <x v="9"/>
    <x v="0"/>
    <x v="463"/>
    <x v="0"/>
    <x v="11"/>
    <x v="729"/>
    <x v="101"/>
    <x v="698"/>
  </r>
  <r>
    <x v="631"/>
    <x v="430"/>
    <x v="2"/>
    <x v="2"/>
    <x v="3"/>
    <x v="0"/>
    <x v="5"/>
    <x v="3"/>
    <x v="0"/>
    <x v="163"/>
    <x v="0"/>
    <x v="6"/>
    <x v="216"/>
    <x v="77"/>
    <x v="149"/>
  </r>
  <r>
    <x v="632"/>
    <x v="430"/>
    <x v="2"/>
    <x v="2"/>
    <x v="0"/>
    <x v="3"/>
    <x v="2"/>
    <x v="8"/>
    <x v="14"/>
    <x v="14"/>
    <x v="3"/>
    <x v="2"/>
    <x v="167"/>
    <x v="53"/>
    <x v="199"/>
  </r>
  <r>
    <x v="633"/>
    <x v="430"/>
    <x v="2"/>
    <x v="2"/>
    <x v="3"/>
    <x v="1"/>
    <x v="4"/>
    <x v="3"/>
    <x v="1"/>
    <x v="421"/>
    <x v="1"/>
    <x v="11"/>
    <x v="784"/>
    <x v="103"/>
    <x v="737"/>
  </r>
  <r>
    <x v="634"/>
    <x v="431"/>
    <x v="2"/>
    <x v="2"/>
    <x v="4"/>
    <x v="1"/>
    <x v="8"/>
    <x v="7"/>
    <x v="0"/>
    <x v="358"/>
    <x v="0"/>
    <x v="10"/>
    <x v="462"/>
    <x v="92"/>
    <x v="391"/>
  </r>
  <r>
    <x v="635"/>
    <x v="432"/>
    <x v="2"/>
    <x v="2"/>
    <x v="2"/>
    <x v="1"/>
    <x v="8"/>
    <x v="5"/>
    <x v="1"/>
    <x v="373"/>
    <x v="1"/>
    <x v="10"/>
    <x v="662"/>
    <x v="99"/>
    <x v="606"/>
  </r>
  <r>
    <x v="636"/>
    <x v="433"/>
    <x v="2"/>
    <x v="2"/>
    <x v="1"/>
    <x v="1"/>
    <x v="11"/>
    <x v="9"/>
    <x v="5"/>
    <x v="32"/>
    <x v="0"/>
    <x v="3"/>
    <x v="422"/>
    <x v="87"/>
    <x v="549"/>
  </r>
  <r>
    <x v="637"/>
    <x v="434"/>
    <x v="2"/>
    <x v="2"/>
    <x v="0"/>
    <x v="1"/>
    <x v="11"/>
    <x v="1"/>
    <x v="3"/>
    <x v="18"/>
    <x v="3"/>
    <x v="3"/>
    <x v="239"/>
    <x v="77"/>
    <x v="189"/>
  </r>
  <r>
    <x v="638"/>
    <x v="434"/>
    <x v="2"/>
    <x v="2"/>
    <x v="2"/>
    <x v="0"/>
    <x v="10"/>
    <x v="0"/>
    <x v="1"/>
    <x v="203"/>
    <x v="0"/>
    <x v="7"/>
    <x v="501"/>
    <x v="92"/>
    <x v="531"/>
  </r>
  <r>
    <x v="639"/>
    <x v="434"/>
    <x v="2"/>
    <x v="2"/>
    <x v="3"/>
    <x v="2"/>
    <x v="1"/>
    <x v="3"/>
    <x v="2"/>
    <x v="78"/>
    <x v="3"/>
    <x v="4"/>
    <x v="364"/>
    <x v="89"/>
    <x v="274"/>
  </r>
  <r>
    <x v="640"/>
    <x v="434"/>
    <x v="2"/>
    <x v="2"/>
    <x v="3"/>
    <x v="3"/>
    <x v="6"/>
    <x v="2"/>
    <x v="23"/>
    <x v="4"/>
    <x v="1"/>
    <x v="1"/>
    <x v="187"/>
    <x v="56"/>
    <x v="234"/>
  </r>
  <r>
    <x v="641"/>
    <x v="435"/>
    <x v="2"/>
    <x v="3"/>
    <x v="2"/>
    <x v="3"/>
    <x v="2"/>
    <x v="5"/>
    <x v="12"/>
    <x v="10"/>
    <x v="0"/>
    <x v="2"/>
    <x v="156"/>
    <x v="43"/>
    <x v="233"/>
  </r>
  <r>
    <x v="642"/>
    <x v="436"/>
    <x v="2"/>
    <x v="3"/>
    <x v="2"/>
    <x v="0"/>
    <x v="10"/>
    <x v="5"/>
    <x v="0"/>
    <x v="233"/>
    <x v="1"/>
    <x v="7"/>
    <x v="283"/>
    <x v="82"/>
    <x v="230"/>
  </r>
  <r>
    <x v="643"/>
    <x v="437"/>
    <x v="2"/>
    <x v="3"/>
    <x v="3"/>
    <x v="1"/>
    <x v="8"/>
    <x v="2"/>
    <x v="1"/>
    <x v="343"/>
    <x v="0"/>
    <x v="10"/>
    <x v="667"/>
    <x v="99"/>
    <x v="623"/>
  </r>
  <r>
    <x v="644"/>
    <x v="438"/>
    <x v="2"/>
    <x v="3"/>
    <x v="1"/>
    <x v="1"/>
    <x v="8"/>
    <x v="4"/>
    <x v="0"/>
    <x v="334"/>
    <x v="0"/>
    <x v="10"/>
    <x v="452"/>
    <x v="92"/>
    <x v="328"/>
  </r>
  <r>
    <x v="645"/>
    <x v="439"/>
    <x v="2"/>
    <x v="3"/>
    <x v="4"/>
    <x v="0"/>
    <x v="10"/>
    <x v="6"/>
    <x v="0"/>
    <x v="228"/>
    <x v="0"/>
    <x v="7"/>
    <x v="299"/>
    <x v="82"/>
    <x v="285"/>
  </r>
  <r>
    <x v="646"/>
    <x v="440"/>
    <x v="2"/>
    <x v="3"/>
    <x v="4"/>
    <x v="3"/>
    <x v="6"/>
    <x v="6"/>
    <x v="24"/>
    <x v="6"/>
    <x v="1"/>
    <x v="1"/>
    <x v="221"/>
    <x v="59"/>
    <x v="292"/>
  </r>
  <r>
    <x v="647"/>
    <x v="441"/>
    <x v="2"/>
    <x v="3"/>
    <x v="1"/>
    <x v="3"/>
    <x v="3"/>
    <x v="9"/>
    <x v="46"/>
    <x v="2"/>
    <x v="1"/>
    <x v="0"/>
    <x v="323"/>
    <x v="76"/>
    <x v="442"/>
  </r>
  <r>
    <x v="648"/>
    <x v="441"/>
    <x v="2"/>
    <x v="3"/>
    <x v="0"/>
    <x v="1"/>
    <x v="11"/>
    <x v="1"/>
    <x v="1"/>
    <x v="33"/>
    <x v="3"/>
    <x v="3"/>
    <x v="89"/>
    <x v="34"/>
    <x v="80"/>
  </r>
  <r>
    <x v="649"/>
    <x v="442"/>
    <x v="2"/>
    <x v="3"/>
    <x v="1"/>
    <x v="2"/>
    <x v="9"/>
    <x v="9"/>
    <x v="1"/>
    <x v="298"/>
    <x v="0"/>
    <x v="9"/>
    <x v="578"/>
    <x v="95"/>
    <x v="626"/>
  </r>
  <r>
    <x v="650"/>
    <x v="443"/>
    <x v="2"/>
    <x v="3"/>
    <x v="3"/>
    <x v="0"/>
    <x v="0"/>
    <x v="3"/>
    <x v="0"/>
    <x v="212"/>
    <x v="1"/>
    <x v="8"/>
    <x v="273"/>
    <x v="84"/>
    <x v="174"/>
  </r>
  <r>
    <x v="651"/>
    <x v="444"/>
    <x v="2"/>
    <x v="3"/>
    <x v="3"/>
    <x v="3"/>
    <x v="6"/>
    <x v="2"/>
    <x v="14"/>
    <x v="5"/>
    <x v="0"/>
    <x v="1"/>
    <x v="118"/>
    <x v="31"/>
    <x v="155"/>
  </r>
  <r>
    <x v="652"/>
    <x v="444"/>
    <x v="2"/>
    <x v="3"/>
    <x v="2"/>
    <x v="0"/>
    <x v="0"/>
    <x v="0"/>
    <x v="2"/>
    <x v="244"/>
    <x v="0"/>
    <x v="8"/>
    <x v="620"/>
    <x v="97"/>
    <x v="687"/>
  </r>
  <r>
    <x v="653"/>
    <x v="445"/>
    <x v="2"/>
    <x v="3"/>
    <x v="3"/>
    <x v="3"/>
    <x v="3"/>
    <x v="2"/>
    <x v="45"/>
    <x v="2"/>
    <x v="1"/>
    <x v="0"/>
    <x v="317"/>
    <x v="75"/>
    <x v="436"/>
  </r>
  <r>
    <x v="654"/>
    <x v="445"/>
    <x v="2"/>
    <x v="3"/>
    <x v="3"/>
    <x v="1"/>
    <x v="4"/>
    <x v="3"/>
    <x v="0"/>
    <x v="483"/>
    <x v="0"/>
    <x v="11"/>
    <x v="735"/>
    <x v="101"/>
    <x v="722"/>
  </r>
  <r>
    <x v="655"/>
    <x v="446"/>
    <x v="2"/>
    <x v="3"/>
    <x v="2"/>
    <x v="2"/>
    <x v="1"/>
    <x v="0"/>
    <x v="1"/>
    <x v="60"/>
    <x v="0"/>
    <x v="4"/>
    <x v="271"/>
    <x v="79"/>
    <x v="254"/>
  </r>
  <r>
    <x v="656"/>
    <x v="447"/>
    <x v="2"/>
    <x v="3"/>
    <x v="3"/>
    <x v="3"/>
    <x v="2"/>
    <x v="2"/>
    <x v="9"/>
    <x v="14"/>
    <x v="0"/>
    <x v="2"/>
    <x v="128"/>
    <x v="32"/>
    <x v="194"/>
  </r>
  <r>
    <x v="657"/>
    <x v="447"/>
    <x v="2"/>
    <x v="3"/>
    <x v="2"/>
    <x v="3"/>
    <x v="3"/>
    <x v="5"/>
    <x v="14"/>
    <x v="2"/>
    <x v="0"/>
    <x v="0"/>
    <x v="57"/>
    <x v="17"/>
    <x v="106"/>
  </r>
  <r>
    <x v="658"/>
    <x v="448"/>
    <x v="2"/>
    <x v="3"/>
    <x v="1"/>
    <x v="3"/>
    <x v="3"/>
    <x v="4"/>
    <x v="20"/>
    <x v="1"/>
    <x v="1"/>
    <x v="0"/>
    <x v="90"/>
    <x v="27"/>
    <x v="134"/>
  </r>
  <r>
    <x v="659"/>
    <x v="449"/>
    <x v="2"/>
    <x v="3"/>
    <x v="3"/>
    <x v="0"/>
    <x v="5"/>
    <x v="3"/>
    <x v="0"/>
    <x v="159"/>
    <x v="2"/>
    <x v="6"/>
    <x v="178"/>
    <x v="77"/>
    <x v="63"/>
  </r>
  <r>
    <x v="660"/>
    <x v="449"/>
    <x v="2"/>
    <x v="3"/>
    <x v="2"/>
    <x v="0"/>
    <x v="10"/>
    <x v="5"/>
    <x v="0"/>
    <x v="196"/>
    <x v="0"/>
    <x v="7"/>
    <x v="278"/>
    <x v="82"/>
    <x v="224"/>
  </r>
  <r>
    <x v="661"/>
    <x v="450"/>
    <x v="2"/>
    <x v="3"/>
    <x v="4"/>
    <x v="2"/>
    <x v="9"/>
    <x v="6"/>
    <x v="0"/>
    <x v="326"/>
    <x v="2"/>
    <x v="9"/>
    <x v="360"/>
    <x v="88"/>
    <x v="273"/>
  </r>
  <r>
    <x v="662"/>
    <x v="451"/>
    <x v="2"/>
    <x v="3"/>
    <x v="2"/>
    <x v="2"/>
    <x v="7"/>
    <x v="0"/>
    <x v="1"/>
    <x v="127"/>
    <x v="1"/>
    <x v="5"/>
    <x v="374"/>
    <x v="87"/>
    <x v="373"/>
  </r>
  <r>
    <x v="663"/>
    <x v="451"/>
    <x v="2"/>
    <x v="3"/>
    <x v="4"/>
    <x v="1"/>
    <x v="11"/>
    <x v="6"/>
    <x v="1"/>
    <x v="45"/>
    <x v="0"/>
    <x v="3"/>
    <x v="126"/>
    <x v="34"/>
    <x v="177"/>
  </r>
  <r>
    <x v="664"/>
    <x v="452"/>
    <x v="2"/>
    <x v="3"/>
    <x v="2"/>
    <x v="3"/>
    <x v="2"/>
    <x v="5"/>
    <x v="7"/>
    <x v="12"/>
    <x v="3"/>
    <x v="2"/>
    <x v="61"/>
    <x v="24"/>
    <x v="67"/>
  </r>
  <r>
    <x v="665"/>
    <x v="453"/>
    <x v="2"/>
    <x v="3"/>
    <x v="3"/>
    <x v="2"/>
    <x v="7"/>
    <x v="2"/>
    <x v="0"/>
    <x v="117"/>
    <x v="1"/>
    <x v="5"/>
    <x v="149"/>
    <x v="56"/>
    <x v="129"/>
  </r>
  <r>
    <x v="666"/>
    <x v="454"/>
    <x v="2"/>
    <x v="4"/>
    <x v="3"/>
    <x v="0"/>
    <x v="10"/>
    <x v="2"/>
    <x v="1"/>
    <x v="218"/>
    <x v="1"/>
    <x v="7"/>
    <x v="491"/>
    <x v="92"/>
    <x v="496"/>
  </r>
  <r>
    <x v="667"/>
    <x v="455"/>
    <x v="2"/>
    <x v="4"/>
    <x v="2"/>
    <x v="1"/>
    <x v="4"/>
    <x v="5"/>
    <x v="1"/>
    <x v="416"/>
    <x v="3"/>
    <x v="11"/>
    <x v="776"/>
    <x v="103"/>
    <x v="363"/>
  </r>
  <r>
    <x v="668"/>
    <x v="455"/>
    <x v="2"/>
    <x v="4"/>
    <x v="4"/>
    <x v="3"/>
    <x v="3"/>
    <x v="6"/>
    <x v="37"/>
    <x v="0"/>
    <x v="1"/>
    <x v="0"/>
    <x v="201"/>
    <x v="57"/>
    <x v="262"/>
  </r>
  <r>
    <x v="669"/>
    <x v="456"/>
    <x v="2"/>
    <x v="4"/>
    <x v="3"/>
    <x v="2"/>
    <x v="1"/>
    <x v="3"/>
    <x v="2"/>
    <x v="50"/>
    <x v="1"/>
    <x v="4"/>
    <x v="375"/>
    <x v="89"/>
    <x v="325"/>
  </r>
  <r>
    <x v="670"/>
    <x v="457"/>
    <x v="2"/>
    <x v="4"/>
    <x v="2"/>
    <x v="3"/>
    <x v="2"/>
    <x v="5"/>
    <x v="12"/>
    <x v="12"/>
    <x v="1"/>
    <x v="2"/>
    <x v="153"/>
    <x v="43"/>
    <x v="220"/>
  </r>
  <r>
    <x v="671"/>
    <x v="458"/>
    <x v="2"/>
    <x v="4"/>
    <x v="1"/>
    <x v="2"/>
    <x v="7"/>
    <x v="4"/>
    <x v="0"/>
    <x v="96"/>
    <x v="3"/>
    <x v="5"/>
    <x v="130"/>
    <x v="56"/>
    <x v="37"/>
  </r>
  <r>
    <x v="672"/>
    <x v="459"/>
    <x v="2"/>
    <x v="4"/>
    <x v="2"/>
    <x v="2"/>
    <x v="1"/>
    <x v="0"/>
    <x v="1"/>
    <x v="86"/>
    <x v="1"/>
    <x v="4"/>
    <x v="280"/>
    <x v="79"/>
    <x v="277"/>
  </r>
  <r>
    <x v="673"/>
    <x v="459"/>
    <x v="2"/>
    <x v="4"/>
    <x v="2"/>
    <x v="3"/>
    <x v="2"/>
    <x v="5"/>
    <x v="10"/>
    <x v="10"/>
    <x v="1"/>
    <x v="2"/>
    <x v="125"/>
    <x v="36"/>
    <x v="161"/>
  </r>
  <r>
    <x v="674"/>
    <x v="460"/>
    <x v="2"/>
    <x v="4"/>
    <x v="1"/>
    <x v="2"/>
    <x v="7"/>
    <x v="4"/>
    <x v="4"/>
    <x v="117"/>
    <x v="0"/>
    <x v="5"/>
    <x v="654"/>
    <x v="98"/>
    <x v="721"/>
  </r>
  <r>
    <x v="675"/>
    <x v="461"/>
    <x v="2"/>
    <x v="4"/>
    <x v="3"/>
    <x v="1"/>
    <x v="8"/>
    <x v="2"/>
    <x v="0"/>
    <x v="337"/>
    <x v="1"/>
    <x v="10"/>
    <x v="437"/>
    <x v="92"/>
    <x v="227"/>
  </r>
  <r>
    <x v="676"/>
    <x v="461"/>
    <x v="2"/>
    <x v="4"/>
    <x v="3"/>
    <x v="1"/>
    <x v="8"/>
    <x v="3"/>
    <x v="0"/>
    <x v="339"/>
    <x v="0"/>
    <x v="10"/>
    <x v="457"/>
    <x v="92"/>
    <x v="340"/>
  </r>
  <r>
    <x v="677"/>
    <x v="461"/>
    <x v="2"/>
    <x v="4"/>
    <x v="2"/>
    <x v="1"/>
    <x v="4"/>
    <x v="5"/>
    <x v="0"/>
    <x v="482"/>
    <x v="1"/>
    <x v="11"/>
    <x v="717"/>
    <x v="101"/>
    <x v="662"/>
  </r>
  <r>
    <x v="678"/>
    <x v="462"/>
    <x v="2"/>
    <x v="4"/>
    <x v="3"/>
    <x v="1"/>
    <x v="11"/>
    <x v="3"/>
    <x v="2"/>
    <x v="25"/>
    <x v="0"/>
    <x v="3"/>
    <x v="196"/>
    <x v="56"/>
    <x v="253"/>
  </r>
  <r>
    <x v="679"/>
    <x v="463"/>
    <x v="2"/>
    <x v="4"/>
    <x v="4"/>
    <x v="0"/>
    <x v="0"/>
    <x v="6"/>
    <x v="0"/>
    <x v="231"/>
    <x v="3"/>
    <x v="8"/>
    <x v="243"/>
    <x v="84"/>
    <x v="91"/>
  </r>
  <r>
    <x v="680"/>
    <x v="464"/>
    <x v="2"/>
    <x v="4"/>
    <x v="3"/>
    <x v="2"/>
    <x v="9"/>
    <x v="2"/>
    <x v="1"/>
    <x v="324"/>
    <x v="1"/>
    <x v="9"/>
    <x v="576"/>
    <x v="95"/>
    <x v="625"/>
  </r>
  <r>
    <x v="681"/>
    <x v="465"/>
    <x v="2"/>
    <x v="4"/>
    <x v="4"/>
    <x v="2"/>
    <x v="9"/>
    <x v="7"/>
    <x v="1"/>
    <x v="291"/>
    <x v="1"/>
    <x v="9"/>
    <x v="554"/>
    <x v="95"/>
    <x v="526"/>
  </r>
  <r>
    <x v="682"/>
    <x v="465"/>
    <x v="2"/>
    <x v="4"/>
    <x v="3"/>
    <x v="0"/>
    <x v="5"/>
    <x v="3"/>
    <x v="1"/>
    <x v="183"/>
    <x v="0"/>
    <x v="6"/>
    <x v="448"/>
    <x v="90"/>
    <x v="453"/>
  </r>
  <r>
    <x v="683"/>
    <x v="465"/>
    <x v="2"/>
    <x v="4"/>
    <x v="4"/>
    <x v="1"/>
    <x v="8"/>
    <x v="7"/>
    <x v="0"/>
    <x v="397"/>
    <x v="2"/>
    <x v="10"/>
    <x v="442"/>
    <x v="92"/>
    <x v="260"/>
  </r>
  <r>
    <x v="684"/>
    <x v="465"/>
    <x v="2"/>
    <x v="4"/>
    <x v="3"/>
    <x v="1"/>
    <x v="8"/>
    <x v="2"/>
    <x v="1"/>
    <x v="347"/>
    <x v="1"/>
    <x v="10"/>
    <x v="651"/>
    <x v="99"/>
    <x v="533"/>
  </r>
  <r>
    <x v="685"/>
    <x v="466"/>
    <x v="2"/>
    <x v="4"/>
    <x v="4"/>
    <x v="3"/>
    <x v="3"/>
    <x v="7"/>
    <x v="4"/>
    <x v="1"/>
    <x v="0"/>
    <x v="0"/>
    <x v="3"/>
    <x v="1"/>
    <x v="3"/>
  </r>
  <r>
    <x v="686"/>
    <x v="467"/>
    <x v="2"/>
    <x v="4"/>
    <x v="4"/>
    <x v="2"/>
    <x v="7"/>
    <x v="6"/>
    <x v="0"/>
    <x v="88"/>
    <x v="3"/>
    <x v="5"/>
    <x v="127"/>
    <x v="56"/>
    <x v="33"/>
  </r>
  <r>
    <x v="687"/>
    <x v="468"/>
    <x v="2"/>
    <x v="4"/>
    <x v="4"/>
    <x v="1"/>
    <x v="11"/>
    <x v="7"/>
    <x v="3"/>
    <x v="35"/>
    <x v="1"/>
    <x v="3"/>
    <x v="293"/>
    <x v="77"/>
    <x v="357"/>
  </r>
  <r>
    <x v="688"/>
    <x v="468"/>
    <x v="2"/>
    <x v="4"/>
    <x v="0"/>
    <x v="0"/>
    <x v="0"/>
    <x v="1"/>
    <x v="1"/>
    <x v="229"/>
    <x v="3"/>
    <x v="8"/>
    <x v="454"/>
    <x v="93"/>
    <x v="241"/>
  </r>
  <r>
    <x v="689"/>
    <x v="469"/>
    <x v="2"/>
    <x v="4"/>
    <x v="1"/>
    <x v="0"/>
    <x v="0"/>
    <x v="4"/>
    <x v="2"/>
    <x v="204"/>
    <x v="0"/>
    <x v="8"/>
    <x v="611"/>
    <x v="97"/>
    <x v="639"/>
  </r>
  <r>
    <x v="690"/>
    <x v="470"/>
    <x v="2"/>
    <x v="4"/>
    <x v="3"/>
    <x v="3"/>
    <x v="3"/>
    <x v="3"/>
    <x v="32"/>
    <x v="0"/>
    <x v="0"/>
    <x v="0"/>
    <x v="172"/>
    <x v="48"/>
    <x v="253"/>
  </r>
  <r>
    <x v="691"/>
    <x v="471"/>
    <x v="2"/>
    <x v="4"/>
    <x v="1"/>
    <x v="1"/>
    <x v="8"/>
    <x v="4"/>
    <x v="2"/>
    <x v="345"/>
    <x v="0"/>
    <x v="10"/>
    <x v="761"/>
    <x v="102"/>
    <x v="731"/>
  </r>
  <r>
    <x v="692"/>
    <x v="471"/>
    <x v="2"/>
    <x v="4"/>
    <x v="2"/>
    <x v="0"/>
    <x v="0"/>
    <x v="5"/>
    <x v="2"/>
    <x v="230"/>
    <x v="0"/>
    <x v="8"/>
    <x v="616"/>
    <x v="97"/>
    <x v="672"/>
  </r>
  <r>
    <x v="693"/>
    <x v="472"/>
    <x v="2"/>
    <x v="4"/>
    <x v="4"/>
    <x v="1"/>
    <x v="11"/>
    <x v="7"/>
    <x v="4"/>
    <x v="16"/>
    <x v="0"/>
    <x v="3"/>
    <x v="354"/>
    <x v="86"/>
    <x v="446"/>
  </r>
  <r>
    <x v="694"/>
    <x v="473"/>
    <x v="2"/>
    <x v="4"/>
    <x v="3"/>
    <x v="0"/>
    <x v="10"/>
    <x v="2"/>
    <x v="2"/>
    <x v="259"/>
    <x v="0"/>
    <x v="7"/>
    <x v="631"/>
    <x v="96"/>
    <x v="727"/>
  </r>
  <r>
    <x v="695"/>
    <x v="474"/>
    <x v="2"/>
    <x v="4"/>
    <x v="1"/>
    <x v="1"/>
    <x v="4"/>
    <x v="4"/>
    <x v="1"/>
    <x v="462"/>
    <x v="1"/>
    <x v="11"/>
    <x v="795"/>
    <x v="103"/>
    <x v="762"/>
  </r>
  <r>
    <x v="696"/>
    <x v="475"/>
    <x v="2"/>
    <x v="5"/>
    <x v="3"/>
    <x v="3"/>
    <x v="6"/>
    <x v="3"/>
    <x v="18"/>
    <x v="5"/>
    <x v="0"/>
    <x v="1"/>
    <x v="148"/>
    <x v="42"/>
    <x v="219"/>
  </r>
  <r>
    <x v="697"/>
    <x v="476"/>
    <x v="2"/>
    <x v="5"/>
    <x v="1"/>
    <x v="3"/>
    <x v="3"/>
    <x v="4"/>
    <x v="47"/>
    <x v="2"/>
    <x v="0"/>
    <x v="0"/>
    <x v="341"/>
    <x v="77"/>
    <x v="483"/>
  </r>
  <r>
    <x v="698"/>
    <x v="477"/>
    <x v="2"/>
    <x v="5"/>
    <x v="0"/>
    <x v="1"/>
    <x v="11"/>
    <x v="8"/>
    <x v="2"/>
    <x v="28"/>
    <x v="1"/>
    <x v="3"/>
    <x v="182"/>
    <x v="56"/>
    <x v="223"/>
  </r>
  <r>
    <x v="699"/>
    <x v="478"/>
    <x v="2"/>
    <x v="5"/>
    <x v="2"/>
    <x v="3"/>
    <x v="6"/>
    <x v="0"/>
    <x v="34"/>
    <x v="5"/>
    <x v="0"/>
    <x v="1"/>
    <x v="345"/>
    <x v="81"/>
    <x v="461"/>
  </r>
  <r>
    <x v="700"/>
    <x v="479"/>
    <x v="2"/>
    <x v="5"/>
    <x v="2"/>
    <x v="1"/>
    <x v="8"/>
    <x v="0"/>
    <x v="2"/>
    <x v="356"/>
    <x v="0"/>
    <x v="10"/>
    <x v="767"/>
    <x v="102"/>
    <x v="742"/>
  </r>
  <r>
    <x v="701"/>
    <x v="480"/>
    <x v="2"/>
    <x v="5"/>
    <x v="3"/>
    <x v="3"/>
    <x v="3"/>
    <x v="2"/>
    <x v="37"/>
    <x v="2"/>
    <x v="0"/>
    <x v="0"/>
    <x v="245"/>
    <x v="57"/>
    <x v="380"/>
  </r>
  <r>
    <x v="702"/>
    <x v="481"/>
    <x v="2"/>
    <x v="5"/>
    <x v="1"/>
    <x v="1"/>
    <x v="4"/>
    <x v="9"/>
    <x v="0"/>
    <x v="476"/>
    <x v="0"/>
    <x v="11"/>
    <x v="733"/>
    <x v="101"/>
    <x v="713"/>
  </r>
  <r>
    <x v="703"/>
    <x v="482"/>
    <x v="2"/>
    <x v="5"/>
    <x v="3"/>
    <x v="1"/>
    <x v="4"/>
    <x v="3"/>
    <x v="1"/>
    <x v="436"/>
    <x v="2"/>
    <x v="11"/>
    <x v="781"/>
    <x v="103"/>
    <x v="694"/>
  </r>
  <r>
    <x v="704"/>
    <x v="483"/>
    <x v="2"/>
    <x v="5"/>
    <x v="1"/>
    <x v="1"/>
    <x v="8"/>
    <x v="4"/>
    <x v="2"/>
    <x v="388"/>
    <x v="1"/>
    <x v="10"/>
    <x v="761"/>
    <x v="102"/>
    <x v="731"/>
  </r>
  <r>
    <x v="705"/>
    <x v="484"/>
    <x v="2"/>
    <x v="5"/>
    <x v="3"/>
    <x v="2"/>
    <x v="9"/>
    <x v="3"/>
    <x v="2"/>
    <x v="321"/>
    <x v="0"/>
    <x v="9"/>
    <x v="731"/>
    <x v="100"/>
    <x v="752"/>
  </r>
  <r>
    <x v="706"/>
    <x v="485"/>
    <x v="2"/>
    <x v="5"/>
    <x v="4"/>
    <x v="3"/>
    <x v="3"/>
    <x v="6"/>
    <x v="20"/>
    <x v="1"/>
    <x v="0"/>
    <x v="0"/>
    <x v="102"/>
    <x v="27"/>
    <x v="154"/>
  </r>
  <r>
    <x v="707"/>
    <x v="486"/>
    <x v="2"/>
    <x v="5"/>
    <x v="0"/>
    <x v="3"/>
    <x v="2"/>
    <x v="8"/>
    <x v="8"/>
    <x v="10"/>
    <x v="1"/>
    <x v="2"/>
    <x v="87"/>
    <x v="28"/>
    <x v="121"/>
  </r>
  <r>
    <x v="708"/>
    <x v="486"/>
    <x v="2"/>
    <x v="5"/>
    <x v="2"/>
    <x v="3"/>
    <x v="2"/>
    <x v="5"/>
    <x v="13"/>
    <x v="12"/>
    <x v="1"/>
    <x v="2"/>
    <x v="171"/>
    <x v="49"/>
    <x v="240"/>
  </r>
  <r>
    <x v="709"/>
    <x v="486"/>
    <x v="2"/>
    <x v="5"/>
    <x v="3"/>
    <x v="1"/>
    <x v="8"/>
    <x v="3"/>
    <x v="2"/>
    <x v="382"/>
    <x v="2"/>
    <x v="10"/>
    <x v="746"/>
    <x v="102"/>
    <x v="660"/>
  </r>
  <r>
    <x v="710"/>
    <x v="487"/>
    <x v="2"/>
    <x v="5"/>
    <x v="0"/>
    <x v="1"/>
    <x v="4"/>
    <x v="1"/>
    <x v="1"/>
    <x v="479"/>
    <x v="2"/>
    <x v="11"/>
    <x v="790"/>
    <x v="103"/>
    <x v="749"/>
  </r>
  <r>
    <x v="711"/>
    <x v="488"/>
    <x v="2"/>
    <x v="5"/>
    <x v="3"/>
    <x v="1"/>
    <x v="8"/>
    <x v="2"/>
    <x v="0"/>
    <x v="400"/>
    <x v="2"/>
    <x v="10"/>
    <x v="443"/>
    <x v="92"/>
    <x v="267"/>
  </r>
  <r>
    <x v="712"/>
    <x v="489"/>
    <x v="2"/>
    <x v="5"/>
    <x v="4"/>
    <x v="0"/>
    <x v="5"/>
    <x v="7"/>
    <x v="1"/>
    <x v="175"/>
    <x v="0"/>
    <x v="6"/>
    <x v="441"/>
    <x v="90"/>
    <x v="428"/>
  </r>
  <r>
    <x v="713"/>
    <x v="489"/>
    <x v="2"/>
    <x v="5"/>
    <x v="3"/>
    <x v="3"/>
    <x v="3"/>
    <x v="3"/>
    <x v="18"/>
    <x v="0"/>
    <x v="2"/>
    <x v="0"/>
    <x v="64"/>
    <x v="24"/>
    <x v="74"/>
  </r>
  <r>
    <x v="714"/>
    <x v="490"/>
    <x v="2"/>
    <x v="5"/>
    <x v="3"/>
    <x v="0"/>
    <x v="10"/>
    <x v="3"/>
    <x v="1"/>
    <x v="253"/>
    <x v="0"/>
    <x v="7"/>
    <x v="519"/>
    <x v="92"/>
    <x v="600"/>
  </r>
  <r>
    <x v="715"/>
    <x v="490"/>
    <x v="2"/>
    <x v="5"/>
    <x v="4"/>
    <x v="3"/>
    <x v="2"/>
    <x v="7"/>
    <x v="3"/>
    <x v="8"/>
    <x v="0"/>
    <x v="2"/>
    <x v="22"/>
    <x v="8"/>
    <x v="22"/>
  </r>
  <r>
    <x v="716"/>
    <x v="491"/>
    <x v="2"/>
    <x v="5"/>
    <x v="3"/>
    <x v="1"/>
    <x v="11"/>
    <x v="3"/>
    <x v="5"/>
    <x v="25"/>
    <x v="1"/>
    <x v="3"/>
    <x v="406"/>
    <x v="87"/>
    <x v="485"/>
  </r>
  <r>
    <x v="717"/>
    <x v="491"/>
    <x v="2"/>
    <x v="5"/>
    <x v="2"/>
    <x v="0"/>
    <x v="0"/>
    <x v="5"/>
    <x v="2"/>
    <x v="272"/>
    <x v="2"/>
    <x v="8"/>
    <x v="604"/>
    <x v="97"/>
    <x v="620"/>
  </r>
  <r>
    <x v="718"/>
    <x v="492"/>
    <x v="2"/>
    <x v="6"/>
    <x v="2"/>
    <x v="1"/>
    <x v="8"/>
    <x v="0"/>
    <x v="2"/>
    <x v="359"/>
    <x v="1"/>
    <x v="10"/>
    <x v="754"/>
    <x v="102"/>
    <x v="701"/>
  </r>
  <r>
    <x v="719"/>
    <x v="493"/>
    <x v="2"/>
    <x v="6"/>
    <x v="3"/>
    <x v="1"/>
    <x v="11"/>
    <x v="2"/>
    <x v="4"/>
    <x v="31"/>
    <x v="3"/>
    <x v="3"/>
    <x v="333"/>
    <x v="86"/>
    <x v="310"/>
  </r>
  <r>
    <x v="720"/>
    <x v="494"/>
    <x v="2"/>
    <x v="6"/>
    <x v="1"/>
    <x v="0"/>
    <x v="0"/>
    <x v="9"/>
    <x v="0"/>
    <x v="213"/>
    <x v="1"/>
    <x v="8"/>
    <x v="274"/>
    <x v="84"/>
    <x v="176"/>
  </r>
  <r>
    <x v="721"/>
    <x v="495"/>
    <x v="2"/>
    <x v="6"/>
    <x v="1"/>
    <x v="2"/>
    <x v="1"/>
    <x v="4"/>
    <x v="2"/>
    <x v="56"/>
    <x v="1"/>
    <x v="4"/>
    <x v="380"/>
    <x v="89"/>
    <x v="349"/>
  </r>
  <r>
    <x v="722"/>
    <x v="496"/>
    <x v="2"/>
    <x v="6"/>
    <x v="4"/>
    <x v="2"/>
    <x v="9"/>
    <x v="7"/>
    <x v="2"/>
    <x v="307"/>
    <x v="3"/>
    <x v="9"/>
    <x v="664"/>
    <x v="100"/>
    <x v="545"/>
  </r>
  <r>
    <x v="723"/>
    <x v="497"/>
    <x v="2"/>
    <x v="6"/>
    <x v="4"/>
    <x v="2"/>
    <x v="9"/>
    <x v="7"/>
    <x v="0"/>
    <x v="313"/>
    <x v="1"/>
    <x v="9"/>
    <x v="372"/>
    <x v="88"/>
    <x v="319"/>
  </r>
  <r>
    <x v="724"/>
    <x v="498"/>
    <x v="2"/>
    <x v="6"/>
    <x v="3"/>
    <x v="3"/>
    <x v="6"/>
    <x v="2"/>
    <x v="21"/>
    <x v="3"/>
    <x v="2"/>
    <x v="1"/>
    <x v="147"/>
    <x v="51"/>
    <x v="157"/>
  </r>
  <r>
    <x v="725"/>
    <x v="499"/>
    <x v="2"/>
    <x v="6"/>
    <x v="2"/>
    <x v="3"/>
    <x v="3"/>
    <x v="0"/>
    <x v="19"/>
    <x v="1"/>
    <x v="0"/>
    <x v="0"/>
    <x v="92"/>
    <x v="25"/>
    <x v="146"/>
  </r>
  <r>
    <x v="726"/>
    <x v="500"/>
    <x v="2"/>
    <x v="6"/>
    <x v="1"/>
    <x v="1"/>
    <x v="8"/>
    <x v="9"/>
    <x v="0"/>
    <x v="353"/>
    <x v="1"/>
    <x v="10"/>
    <x v="444"/>
    <x v="92"/>
    <x v="269"/>
  </r>
  <r>
    <x v="727"/>
    <x v="501"/>
    <x v="2"/>
    <x v="6"/>
    <x v="3"/>
    <x v="2"/>
    <x v="9"/>
    <x v="2"/>
    <x v="2"/>
    <x v="284"/>
    <x v="0"/>
    <x v="9"/>
    <x v="699"/>
    <x v="100"/>
    <x v="705"/>
  </r>
  <r>
    <x v="728"/>
    <x v="502"/>
    <x v="2"/>
    <x v="6"/>
    <x v="0"/>
    <x v="0"/>
    <x v="10"/>
    <x v="1"/>
    <x v="0"/>
    <x v="237"/>
    <x v="1"/>
    <x v="7"/>
    <x v="284"/>
    <x v="82"/>
    <x v="237"/>
  </r>
  <r>
    <x v="729"/>
    <x v="502"/>
    <x v="2"/>
    <x v="6"/>
    <x v="4"/>
    <x v="3"/>
    <x v="3"/>
    <x v="6"/>
    <x v="40"/>
    <x v="1"/>
    <x v="0"/>
    <x v="0"/>
    <x v="259"/>
    <x v="63"/>
    <x v="382"/>
  </r>
  <r>
    <x v="730"/>
    <x v="503"/>
    <x v="2"/>
    <x v="6"/>
    <x v="0"/>
    <x v="0"/>
    <x v="5"/>
    <x v="8"/>
    <x v="0"/>
    <x v="164"/>
    <x v="0"/>
    <x v="6"/>
    <x v="218"/>
    <x v="77"/>
    <x v="150"/>
  </r>
  <r>
    <x v="731"/>
    <x v="504"/>
    <x v="2"/>
    <x v="6"/>
    <x v="0"/>
    <x v="3"/>
    <x v="3"/>
    <x v="1"/>
    <x v="15"/>
    <x v="0"/>
    <x v="2"/>
    <x v="0"/>
    <x v="53"/>
    <x v="19"/>
    <x v="56"/>
  </r>
  <r>
    <x v="732"/>
    <x v="504"/>
    <x v="2"/>
    <x v="6"/>
    <x v="4"/>
    <x v="3"/>
    <x v="3"/>
    <x v="6"/>
    <x v="43"/>
    <x v="0"/>
    <x v="1"/>
    <x v="0"/>
    <x v="261"/>
    <x v="69"/>
    <x v="337"/>
  </r>
  <r>
    <x v="733"/>
    <x v="505"/>
    <x v="2"/>
    <x v="6"/>
    <x v="3"/>
    <x v="1"/>
    <x v="4"/>
    <x v="2"/>
    <x v="1"/>
    <x v="427"/>
    <x v="1"/>
    <x v="11"/>
    <x v="787"/>
    <x v="103"/>
    <x v="746"/>
  </r>
  <r>
    <x v="734"/>
    <x v="506"/>
    <x v="2"/>
    <x v="6"/>
    <x v="4"/>
    <x v="0"/>
    <x v="5"/>
    <x v="6"/>
    <x v="2"/>
    <x v="176"/>
    <x v="1"/>
    <x v="6"/>
    <x v="543"/>
    <x v="94"/>
    <x v="511"/>
  </r>
  <r>
    <x v="735"/>
    <x v="507"/>
    <x v="2"/>
    <x v="6"/>
    <x v="4"/>
    <x v="1"/>
    <x v="8"/>
    <x v="6"/>
    <x v="1"/>
    <x v="369"/>
    <x v="1"/>
    <x v="10"/>
    <x v="660"/>
    <x v="99"/>
    <x v="598"/>
  </r>
  <r>
    <x v="736"/>
    <x v="507"/>
    <x v="2"/>
    <x v="6"/>
    <x v="0"/>
    <x v="2"/>
    <x v="7"/>
    <x v="8"/>
    <x v="3"/>
    <x v="124"/>
    <x v="2"/>
    <x v="5"/>
    <x v="553"/>
    <x v="94"/>
    <x v="556"/>
  </r>
  <r>
    <x v="737"/>
    <x v="508"/>
    <x v="2"/>
    <x v="6"/>
    <x v="3"/>
    <x v="3"/>
    <x v="6"/>
    <x v="3"/>
    <x v="31"/>
    <x v="5"/>
    <x v="1"/>
    <x v="1"/>
    <x v="301"/>
    <x v="77"/>
    <x v="378"/>
  </r>
  <r>
    <x v="738"/>
    <x v="509"/>
    <x v="2"/>
    <x v="7"/>
    <x v="2"/>
    <x v="3"/>
    <x v="3"/>
    <x v="0"/>
    <x v="39"/>
    <x v="2"/>
    <x v="1"/>
    <x v="0"/>
    <x v="245"/>
    <x v="60"/>
    <x v="354"/>
  </r>
  <r>
    <x v="739"/>
    <x v="510"/>
    <x v="2"/>
    <x v="7"/>
    <x v="1"/>
    <x v="3"/>
    <x v="3"/>
    <x v="9"/>
    <x v="11"/>
    <x v="0"/>
    <x v="0"/>
    <x v="0"/>
    <x v="43"/>
    <x v="12"/>
    <x v="53"/>
  </r>
  <r>
    <x v="740"/>
    <x v="510"/>
    <x v="2"/>
    <x v="7"/>
    <x v="4"/>
    <x v="1"/>
    <x v="8"/>
    <x v="7"/>
    <x v="2"/>
    <x v="378"/>
    <x v="2"/>
    <x v="10"/>
    <x v="745"/>
    <x v="102"/>
    <x v="656"/>
  </r>
  <r>
    <x v="741"/>
    <x v="511"/>
    <x v="2"/>
    <x v="7"/>
    <x v="0"/>
    <x v="3"/>
    <x v="2"/>
    <x v="8"/>
    <x v="19"/>
    <x v="8"/>
    <x v="1"/>
    <x v="2"/>
    <x v="273"/>
    <x v="74"/>
    <x v="331"/>
  </r>
  <r>
    <x v="742"/>
    <x v="512"/>
    <x v="2"/>
    <x v="7"/>
    <x v="4"/>
    <x v="3"/>
    <x v="6"/>
    <x v="6"/>
    <x v="20"/>
    <x v="7"/>
    <x v="2"/>
    <x v="1"/>
    <x v="155"/>
    <x v="47"/>
    <x v="200"/>
  </r>
  <r>
    <x v="743"/>
    <x v="513"/>
    <x v="2"/>
    <x v="7"/>
    <x v="1"/>
    <x v="3"/>
    <x v="3"/>
    <x v="4"/>
    <x v="22"/>
    <x v="0"/>
    <x v="1"/>
    <x v="0"/>
    <x v="103"/>
    <x v="30"/>
    <x v="137"/>
  </r>
  <r>
    <x v="744"/>
    <x v="513"/>
    <x v="2"/>
    <x v="7"/>
    <x v="0"/>
    <x v="0"/>
    <x v="10"/>
    <x v="1"/>
    <x v="2"/>
    <x v="240"/>
    <x v="2"/>
    <x v="7"/>
    <x v="590"/>
    <x v="96"/>
    <x v="607"/>
  </r>
  <r>
    <x v="745"/>
    <x v="514"/>
    <x v="2"/>
    <x v="7"/>
    <x v="0"/>
    <x v="1"/>
    <x v="4"/>
    <x v="1"/>
    <x v="1"/>
    <x v="409"/>
    <x v="0"/>
    <x v="11"/>
    <x v="793"/>
    <x v="103"/>
    <x v="759"/>
  </r>
  <r>
    <x v="746"/>
    <x v="515"/>
    <x v="2"/>
    <x v="7"/>
    <x v="4"/>
    <x v="3"/>
    <x v="2"/>
    <x v="6"/>
    <x v="4"/>
    <x v="10"/>
    <x v="1"/>
    <x v="2"/>
    <x v="33"/>
    <x v="11"/>
    <x v="38"/>
  </r>
  <r>
    <x v="747"/>
    <x v="516"/>
    <x v="2"/>
    <x v="7"/>
    <x v="2"/>
    <x v="3"/>
    <x v="2"/>
    <x v="0"/>
    <x v="17"/>
    <x v="11"/>
    <x v="0"/>
    <x v="2"/>
    <x v="267"/>
    <x v="66"/>
    <x v="383"/>
  </r>
  <r>
    <x v="748"/>
    <x v="517"/>
    <x v="2"/>
    <x v="7"/>
    <x v="0"/>
    <x v="0"/>
    <x v="5"/>
    <x v="8"/>
    <x v="1"/>
    <x v="188"/>
    <x v="1"/>
    <x v="6"/>
    <x v="433"/>
    <x v="90"/>
    <x v="387"/>
  </r>
  <r>
    <x v="749"/>
    <x v="518"/>
    <x v="2"/>
    <x v="7"/>
    <x v="2"/>
    <x v="1"/>
    <x v="4"/>
    <x v="0"/>
    <x v="1"/>
    <x v="478"/>
    <x v="0"/>
    <x v="11"/>
    <x v="810"/>
    <x v="103"/>
    <x v="777"/>
  </r>
  <r>
    <x v="750"/>
    <x v="518"/>
    <x v="2"/>
    <x v="7"/>
    <x v="3"/>
    <x v="0"/>
    <x v="5"/>
    <x v="3"/>
    <x v="2"/>
    <x v="152"/>
    <x v="1"/>
    <x v="6"/>
    <x v="532"/>
    <x v="94"/>
    <x v="429"/>
  </r>
  <r>
    <x v="751"/>
    <x v="519"/>
    <x v="2"/>
    <x v="7"/>
    <x v="3"/>
    <x v="1"/>
    <x v="8"/>
    <x v="3"/>
    <x v="2"/>
    <x v="365"/>
    <x v="3"/>
    <x v="10"/>
    <x v="739"/>
    <x v="102"/>
    <x v="484"/>
  </r>
  <r>
    <x v="752"/>
    <x v="520"/>
    <x v="2"/>
    <x v="7"/>
    <x v="3"/>
    <x v="0"/>
    <x v="5"/>
    <x v="3"/>
    <x v="2"/>
    <x v="150"/>
    <x v="0"/>
    <x v="6"/>
    <x v="544"/>
    <x v="94"/>
    <x v="512"/>
  </r>
  <r>
    <x v="753"/>
    <x v="521"/>
    <x v="2"/>
    <x v="7"/>
    <x v="0"/>
    <x v="0"/>
    <x v="0"/>
    <x v="1"/>
    <x v="2"/>
    <x v="232"/>
    <x v="0"/>
    <x v="8"/>
    <x v="617"/>
    <x v="97"/>
    <x v="674"/>
  </r>
  <r>
    <x v="754"/>
    <x v="522"/>
    <x v="2"/>
    <x v="7"/>
    <x v="0"/>
    <x v="3"/>
    <x v="3"/>
    <x v="8"/>
    <x v="10"/>
    <x v="0"/>
    <x v="0"/>
    <x v="0"/>
    <x v="30"/>
    <x v="10"/>
    <x v="44"/>
  </r>
  <r>
    <x v="755"/>
    <x v="523"/>
    <x v="2"/>
    <x v="7"/>
    <x v="1"/>
    <x v="1"/>
    <x v="8"/>
    <x v="9"/>
    <x v="0"/>
    <x v="381"/>
    <x v="0"/>
    <x v="10"/>
    <x v="474"/>
    <x v="92"/>
    <x v="438"/>
  </r>
  <r>
    <x v="756"/>
    <x v="523"/>
    <x v="2"/>
    <x v="7"/>
    <x v="2"/>
    <x v="1"/>
    <x v="8"/>
    <x v="0"/>
    <x v="2"/>
    <x v="349"/>
    <x v="2"/>
    <x v="10"/>
    <x v="742"/>
    <x v="102"/>
    <x v="566"/>
  </r>
  <r>
    <x v="757"/>
    <x v="524"/>
    <x v="2"/>
    <x v="7"/>
    <x v="2"/>
    <x v="3"/>
    <x v="6"/>
    <x v="0"/>
    <x v="17"/>
    <x v="5"/>
    <x v="1"/>
    <x v="1"/>
    <x v="133"/>
    <x v="39"/>
    <x v="170"/>
  </r>
  <r>
    <x v="758"/>
    <x v="524"/>
    <x v="2"/>
    <x v="7"/>
    <x v="4"/>
    <x v="2"/>
    <x v="1"/>
    <x v="7"/>
    <x v="0"/>
    <x v="72"/>
    <x v="0"/>
    <x v="4"/>
    <x v="110"/>
    <x v="37"/>
    <x v="116"/>
  </r>
  <r>
    <x v="759"/>
    <x v="525"/>
    <x v="2"/>
    <x v="7"/>
    <x v="1"/>
    <x v="0"/>
    <x v="10"/>
    <x v="4"/>
    <x v="0"/>
    <x v="201"/>
    <x v="1"/>
    <x v="7"/>
    <x v="264"/>
    <x v="82"/>
    <x v="193"/>
  </r>
  <r>
    <x v="760"/>
    <x v="526"/>
    <x v="2"/>
    <x v="8"/>
    <x v="2"/>
    <x v="0"/>
    <x v="0"/>
    <x v="5"/>
    <x v="2"/>
    <x v="237"/>
    <x v="2"/>
    <x v="8"/>
    <x v="588"/>
    <x v="97"/>
    <x v="537"/>
  </r>
  <r>
    <x v="761"/>
    <x v="527"/>
    <x v="2"/>
    <x v="8"/>
    <x v="0"/>
    <x v="1"/>
    <x v="4"/>
    <x v="8"/>
    <x v="0"/>
    <x v="454"/>
    <x v="3"/>
    <x v="11"/>
    <x v="671"/>
    <x v="101"/>
    <x v="297"/>
  </r>
  <r>
    <x v="762"/>
    <x v="528"/>
    <x v="2"/>
    <x v="8"/>
    <x v="4"/>
    <x v="3"/>
    <x v="3"/>
    <x v="6"/>
    <x v="45"/>
    <x v="2"/>
    <x v="1"/>
    <x v="0"/>
    <x v="317"/>
    <x v="75"/>
    <x v="436"/>
  </r>
  <r>
    <x v="763"/>
    <x v="529"/>
    <x v="2"/>
    <x v="8"/>
    <x v="3"/>
    <x v="0"/>
    <x v="5"/>
    <x v="3"/>
    <x v="1"/>
    <x v="140"/>
    <x v="0"/>
    <x v="6"/>
    <x v="421"/>
    <x v="90"/>
    <x v="314"/>
  </r>
  <r>
    <x v="764"/>
    <x v="530"/>
    <x v="2"/>
    <x v="8"/>
    <x v="2"/>
    <x v="1"/>
    <x v="4"/>
    <x v="0"/>
    <x v="1"/>
    <x v="467"/>
    <x v="1"/>
    <x v="11"/>
    <x v="798"/>
    <x v="103"/>
    <x v="765"/>
  </r>
  <r>
    <x v="765"/>
    <x v="530"/>
    <x v="2"/>
    <x v="8"/>
    <x v="4"/>
    <x v="1"/>
    <x v="4"/>
    <x v="7"/>
    <x v="0"/>
    <x v="450"/>
    <x v="0"/>
    <x v="11"/>
    <x v="722"/>
    <x v="101"/>
    <x v="680"/>
  </r>
  <r>
    <x v="766"/>
    <x v="531"/>
    <x v="2"/>
    <x v="8"/>
    <x v="3"/>
    <x v="0"/>
    <x v="10"/>
    <x v="2"/>
    <x v="2"/>
    <x v="207"/>
    <x v="1"/>
    <x v="7"/>
    <x v="596"/>
    <x v="96"/>
    <x v="629"/>
  </r>
  <r>
    <x v="767"/>
    <x v="532"/>
    <x v="2"/>
    <x v="8"/>
    <x v="3"/>
    <x v="0"/>
    <x v="5"/>
    <x v="3"/>
    <x v="1"/>
    <x v="151"/>
    <x v="3"/>
    <x v="6"/>
    <x v="387"/>
    <x v="90"/>
    <x v="93"/>
  </r>
  <r>
    <x v="768"/>
    <x v="533"/>
    <x v="2"/>
    <x v="8"/>
    <x v="4"/>
    <x v="3"/>
    <x v="6"/>
    <x v="7"/>
    <x v="34"/>
    <x v="4"/>
    <x v="2"/>
    <x v="1"/>
    <x v="310"/>
    <x v="81"/>
    <x v="330"/>
  </r>
  <r>
    <x v="769"/>
    <x v="533"/>
    <x v="2"/>
    <x v="8"/>
    <x v="2"/>
    <x v="2"/>
    <x v="9"/>
    <x v="5"/>
    <x v="2"/>
    <x v="283"/>
    <x v="1"/>
    <x v="9"/>
    <x v="679"/>
    <x v="100"/>
    <x v="641"/>
  </r>
  <r>
    <x v="770"/>
    <x v="533"/>
    <x v="2"/>
    <x v="8"/>
    <x v="4"/>
    <x v="1"/>
    <x v="4"/>
    <x v="7"/>
    <x v="1"/>
    <x v="489"/>
    <x v="0"/>
    <x v="11"/>
    <x v="813"/>
    <x v="103"/>
    <x v="780"/>
  </r>
  <r>
    <x v="771"/>
    <x v="534"/>
    <x v="2"/>
    <x v="8"/>
    <x v="4"/>
    <x v="3"/>
    <x v="2"/>
    <x v="6"/>
    <x v="13"/>
    <x v="10"/>
    <x v="0"/>
    <x v="2"/>
    <x v="175"/>
    <x v="49"/>
    <x v="257"/>
  </r>
  <r>
    <x v="772"/>
    <x v="534"/>
    <x v="2"/>
    <x v="8"/>
    <x v="3"/>
    <x v="3"/>
    <x v="6"/>
    <x v="3"/>
    <x v="18"/>
    <x v="3"/>
    <x v="1"/>
    <x v="1"/>
    <x v="134"/>
    <x v="42"/>
    <x v="156"/>
  </r>
  <r>
    <x v="773"/>
    <x v="534"/>
    <x v="2"/>
    <x v="8"/>
    <x v="0"/>
    <x v="3"/>
    <x v="2"/>
    <x v="1"/>
    <x v="15"/>
    <x v="13"/>
    <x v="0"/>
    <x v="2"/>
    <x v="242"/>
    <x v="57"/>
    <x v="360"/>
  </r>
  <r>
    <x v="774"/>
    <x v="534"/>
    <x v="2"/>
    <x v="8"/>
    <x v="3"/>
    <x v="2"/>
    <x v="7"/>
    <x v="2"/>
    <x v="3"/>
    <x v="120"/>
    <x v="1"/>
    <x v="5"/>
    <x v="565"/>
    <x v="94"/>
    <x v="617"/>
  </r>
  <r>
    <x v="775"/>
    <x v="534"/>
    <x v="2"/>
    <x v="8"/>
    <x v="4"/>
    <x v="2"/>
    <x v="7"/>
    <x v="6"/>
    <x v="1"/>
    <x v="112"/>
    <x v="0"/>
    <x v="5"/>
    <x v="379"/>
    <x v="87"/>
    <x v="395"/>
  </r>
  <r>
    <x v="776"/>
    <x v="535"/>
    <x v="2"/>
    <x v="8"/>
    <x v="0"/>
    <x v="3"/>
    <x v="3"/>
    <x v="8"/>
    <x v="43"/>
    <x v="2"/>
    <x v="0"/>
    <x v="0"/>
    <x v="314"/>
    <x v="69"/>
    <x v="449"/>
  </r>
  <r>
    <x v="777"/>
    <x v="536"/>
    <x v="2"/>
    <x v="8"/>
    <x v="2"/>
    <x v="1"/>
    <x v="11"/>
    <x v="0"/>
    <x v="1"/>
    <x v="31"/>
    <x v="3"/>
    <x v="3"/>
    <x v="88"/>
    <x v="34"/>
    <x v="75"/>
  </r>
  <r>
    <x v="778"/>
    <x v="537"/>
    <x v="2"/>
    <x v="8"/>
    <x v="3"/>
    <x v="1"/>
    <x v="11"/>
    <x v="3"/>
    <x v="3"/>
    <x v="47"/>
    <x v="1"/>
    <x v="3"/>
    <x v="313"/>
    <x v="77"/>
    <x v="400"/>
  </r>
  <r>
    <x v="779"/>
    <x v="538"/>
    <x v="2"/>
    <x v="8"/>
    <x v="3"/>
    <x v="2"/>
    <x v="7"/>
    <x v="2"/>
    <x v="4"/>
    <x v="91"/>
    <x v="0"/>
    <x v="5"/>
    <x v="634"/>
    <x v="98"/>
    <x v="685"/>
  </r>
  <r>
    <x v="780"/>
    <x v="538"/>
    <x v="2"/>
    <x v="8"/>
    <x v="2"/>
    <x v="3"/>
    <x v="6"/>
    <x v="0"/>
    <x v="8"/>
    <x v="6"/>
    <x v="2"/>
    <x v="1"/>
    <x v="49"/>
    <x v="15"/>
    <x v="48"/>
  </r>
  <r>
    <x v="781"/>
    <x v="539"/>
    <x v="2"/>
    <x v="8"/>
    <x v="2"/>
    <x v="2"/>
    <x v="7"/>
    <x v="5"/>
    <x v="3"/>
    <x v="116"/>
    <x v="0"/>
    <x v="5"/>
    <x v="581"/>
    <x v="94"/>
    <x v="658"/>
  </r>
  <r>
    <x v="782"/>
    <x v="540"/>
    <x v="2"/>
    <x v="8"/>
    <x v="4"/>
    <x v="1"/>
    <x v="4"/>
    <x v="7"/>
    <x v="1"/>
    <x v="477"/>
    <x v="2"/>
    <x v="11"/>
    <x v="789"/>
    <x v="103"/>
    <x v="748"/>
  </r>
  <r>
    <x v="783"/>
    <x v="540"/>
    <x v="2"/>
    <x v="8"/>
    <x v="2"/>
    <x v="2"/>
    <x v="1"/>
    <x v="0"/>
    <x v="1"/>
    <x v="77"/>
    <x v="1"/>
    <x v="4"/>
    <x v="272"/>
    <x v="79"/>
    <x v="255"/>
  </r>
  <r>
    <x v="784"/>
    <x v="541"/>
    <x v="2"/>
    <x v="8"/>
    <x v="1"/>
    <x v="2"/>
    <x v="7"/>
    <x v="9"/>
    <x v="3"/>
    <x v="132"/>
    <x v="0"/>
    <x v="5"/>
    <x v="592"/>
    <x v="94"/>
    <x v="689"/>
  </r>
  <r>
    <x v="785"/>
    <x v="542"/>
    <x v="2"/>
    <x v="9"/>
    <x v="2"/>
    <x v="3"/>
    <x v="6"/>
    <x v="5"/>
    <x v="21"/>
    <x v="7"/>
    <x v="1"/>
    <x v="1"/>
    <x v="181"/>
    <x v="51"/>
    <x v="256"/>
  </r>
  <r>
    <x v="786"/>
    <x v="543"/>
    <x v="2"/>
    <x v="9"/>
    <x v="0"/>
    <x v="3"/>
    <x v="6"/>
    <x v="1"/>
    <x v="14"/>
    <x v="3"/>
    <x v="0"/>
    <x v="1"/>
    <x v="108"/>
    <x v="31"/>
    <x v="141"/>
  </r>
  <r>
    <x v="787"/>
    <x v="544"/>
    <x v="2"/>
    <x v="9"/>
    <x v="1"/>
    <x v="0"/>
    <x v="0"/>
    <x v="9"/>
    <x v="0"/>
    <x v="236"/>
    <x v="0"/>
    <x v="8"/>
    <x v="305"/>
    <x v="84"/>
    <x v="246"/>
  </r>
  <r>
    <x v="788"/>
    <x v="544"/>
    <x v="2"/>
    <x v="9"/>
    <x v="4"/>
    <x v="2"/>
    <x v="1"/>
    <x v="6"/>
    <x v="1"/>
    <x v="54"/>
    <x v="1"/>
    <x v="4"/>
    <x v="247"/>
    <x v="79"/>
    <x v="191"/>
  </r>
  <r>
    <x v="789"/>
    <x v="545"/>
    <x v="2"/>
    <x v="9"/>
    <x v="4"/>
    <x v="2"/>
    <x v="1"/>
    <x v="7"/>
    <x v="1"/>
    <x v="57"/>
    <x v="1"/>
    <x v="4"/>
    <x v="251"/>
    <x v="79"/>
    <x v="197"/>
  </r>
  <r>
    <x v="790"/>
    <x v="545"/>
    <x v="2"/>
    <x v="9"/>
    <x v="2"/>
    <x v="3"/>
    <x v="6"/>
    <x v="0"/>
    <x v="19"/>
    <x v="4"/>
    <x v="0"/>
    <x v="1"/>
    <x v="154"/>
    <x v="45"/>
    <x v="219"/>
  </r>
  <r>
    <x v="791"/>
    <x v="545"/>
    <x v="2"/>
    <x v="9"/>
    <x v="2"/>
    <x v="2"/>
    <x v="9"/>
    <x v="5"/>
    <x v="1"/>
    <x v="286"/>
    <x v="0"/>
    <x v="9"/>
    <x v="566"/>
    <x v="95"/>
    <x v="572"/>
  </r>
  <r>
    <x v="792"/>
    <x v="545"/>
    <x v="2"/>
    <x v="9"/>
    <x v="2"/>
    <x v="3"/>
    <x v="3"/>
    <x v="5"/>
    <x v="13"/>
    <x v="2"/>
    <x v="0"/>
    <x v="0"/>
    <x v="55"/>
    <x v="14"/>
    <x v="90"/>
  </r>
  <r>
    <x v="793"/>
    <x v="546"/>
    <x v="2"/>
    <x v="9"/>
    <x v="4"/>
    <x v="0"/>
    <x v="5"/>
    <x v="7"/>
    <x v="2"/>
    <x v="159"/>
    <x v="0"/>
    <x v="6"/>
    <x v="545"/>
    <x v="94"/>
    <x v="527"/>
  </r>
  <r>
    <x v="794"/>
    <x v="546"/>
    <x v="2"/>
    <x v="9"/>
    <x v="3"/>
    <x v="3"/>
    <x v="2"/>
    <x v="3"/>
    <x v="9"/>
    <x v="12"/>
    <x v="0"/>
    <x v="2"/>
    <x v="124"/>
    <x v="32"/>
    <x v="180"/>
  </r>
  <r>
    <x v="795"/>
    <x v="547"/>
    <x v="2"/>
    <x v="9"/>
    <x v="2"/>
    <x v="3"/>
    <x v="3"/>
    <x v="5"/>
    <x v="38"/>
    <x v="0"/>
    <x v="2"/>
    <x v="0"/>
    <x v="192"/>
    <x v="58"/>
    <x v="226"/>
  </r>
  <r>
    <x v="796"/>
    <x v="547"/>
    <x v="2"/>
    <x v="9"/>
    <x v="3"/>
    <x v="3"/>
    <x v="2"/>
    <x v="2"/>
    <x v="10"/>
    <x v="12"/>
    <x v="3"/>
    <x v="2"/>
    <x v="113"/>
    <x v="36"/>
    <x v="120"/>
  </r>
  <r>
    <x v="797"/>
    <x v="548"/>
    <x v="2"/>
    <x v="9"/>
    <x v="2"/>
    <x v="0"/>
    <x v="5"/>
    <x v="5"/>
    <x v="2"/>
    <x v="168"/>
    <x v="0"/>
    <x v="6"/>
    <x v="552"/>
    <x v="94"/>
    <x v="548"/>
  </r>
  <r>
    <x v="798"/>
    <x v="548"/>
    <x v="2"/>
    <x v="9"/>
    <x v="4"/>
    <x v="2"/>
    <x v="1"/>
    <x v="7"/>
    <x v="3"/>
    <x v="85"/>
    <x v="1"/>
    <x v="4"/>
    <x v="497"/>
    <x v="91"/>
    <x v="550"/>
  </r>
  <r>
    <x v="799"/>
    <x v="548"/>
    <x v="2"/>
    <x v="9"/>
    <x v="2"/>
    <x v="2"/>
    <x v="7"/>
    <x v="0"/>
    <x v="1"/>
    <x v="92"/>
    <x v="2"/>
    <x v="5"/>
    <x v="343"/>
    <x v="87"/>
    <x v="195"/>
  </r>
  <r>
    <x v="800"/>
    <x v="548"/>
    <x v="2"/>
    <x v="9"/>
    <x v="2"/>
    <x v="3"/>
    <x v="3"/>
    <x v="0"/>
    <x v="8"/>
    <x v="2"/>
    <x v="0"/>
    <x v="0"/>
    <x v="25"/>
    <x v="6"/>
    <x v="36"/>
  </r>
  <r>
    <x v="801"/>
    <x v="549"/>
    <x v="2"/>
    <x v="9"/>
    <x v="2"/>
    <x v="3"/>
    <x v="2"/>
    <x v="5"/>
    <x v="19"/>
    <x v="10"/>
    <x v="2"/>
    <x v="2"/>
    <x v="262"/>
    <x v="74"/>
    <x v="308"/>
  </r>
  <r>
    <x v="802"/>
    <x v="550"/>
    <x v="2"/>
    <x v="9"/>
    <x v="3"/>
    <x v="0"/>
    <x v="5"/>
    <x v="2"/>
    <x v="0"/>
    <x v="166"/>
    <x v="3"/>
    <x v="6"/>
    <x v="163"/>
    <x v="77"/>
    <x v="31"/>
  </r>
  <r>
    <x v="803"/>
    <x v="551"/>
    <x v="2"/>
    <x v="9"/>
    <x v="2"/>
    <x v="1"/>
    <x v="11"/>
    <x v="0"/>
    <x v="0"/>
    <x v="24"/>
    <x v="2"/>
    <x v="3"/>
    <x v="28"/>
    <x v="13"/>
    <x v="18"/>
  </r>
  <r>
    <x v="804"/>
    <x v="552"/>
    <x v="2"/>
    <x v="9"/>
    <x v="1"/>
    <x v="0"/>
    <x v="0"/>
    <x v="4"/>
    <x v="2"/>
    <x v="274"/>
    <x v="0"/>
    <x v="8"/>
    <x v="642"/>
    <x v="97"/>
    <x v="724"/>
  </r>
  <r>
    <x v="805"/>
    <x v="552"/>
    <x v="2"/>
    <x v="9"/>
    <x v="2"/>
    <x v="3"/>
    <x v="2"/>
    <x v="5"/>
    <x v="17"/>
    <x v="13"/>
    <x v="1"/>
    <x v="2"/>
    <x v="260"/>
    <x v="66"/>
    <x v="365"/>
  </r>
  <r>
    <x v="806"/>
    <x v="553"/>
    <x v="2"/>
    <x v="9"/>
    <x v="2"/>
    <x v="2"/>
    <x v="9"/>
    <x v="0"/>
    <x v="1"/>
    <x v="281"/>
    <x v="1"/>
    <x v="9"/>
    <x v="546"/>
    <x v="95"/>
    <x v="487"/>
  </r>
  <r>
    <x v="807"/>
    <x v="554"/>
    <x v="2"/>
    <x v="9"/>
    <x v="2"/>
    <x v="1"/>
    <x v="4"/>
    <x v="5"/>
    <x v="0"/>
    <x v="420"/>
    <x v="0"/>
    <x v="11"/>
    <x v="708"/>
    <x v="101"/>
    <x v="628"/>
  </r>
  <r>
    <x v="808"/>
    <x v="555"/>
    <x v="2"/>
    <x v="9"/>
    <x v="2"/>
    <x v="2"/>
    <x v="1"/>
    <x v="5"/>
    <x v="0"/>
    <x v="67"/>
    <x v="1"/>
    <x v="4"/>
    <x v="97"/>
    <x v="37"/>
    <x v="76"/>
  </r>
  <r>
    <x v="809"/>
    <x v="556"/>
    <x v="2"/>
    <x v="9"/>
    <x v="2"/>
    <x v="1"/>
    <x v="4"/>
    <x v="0"/>
    <x v="1"/>
    <x v="478"/>
    <x v="0"/>
    <x v="11"/>
    <x v="810"/>
    <x v="103"/>
    <x v="777"/>
  </r>
  <r>
    <x v="810"/>
    <x v="557"/>
    <x v="2"/>
    <x v="9"/>
    <x v="3"/>
    <x v="1"/>
    <x v="4"/>
    <x v="2"/>
    <x v="1"/>
    <x v="451"/>
    <x v="3"/>
    <x v="11"/>
    <x v="778"/>
    <x v="103"/>
    <x v="555"/>
  </r>
  <r>
    <x v="811"/>
    <x v="558"/>
    <x v="2"/>
    <x v="9"/>
    <x v="4"/>
    <x v="1"/>
    <x v="4"/>
    <x v="7"/>
    <x v="1"/>
    <x v="480"/>
    <x v="2"/>
    <x v="11"/>
    <x v="791"/>
    <x v="103"/>
    <x v="750"/>
  </r>
  <r>
    <x v="812"/>
    <x v="558"/>
    <x v="2"/>
    <x v="9"/>
    <x v="3"/>
    <x v="2"/>
    <x v="9"/>
    <x v="3"/>
    <x v="2"/>
    <x v="310"/>
    <x v="2"/>
    <x v="9"/>
    <x v="682"/>
    <x v="100"/>
    <x v="651"/>
  </r>
  <r>
    <x v="813"/>
    <x v="558"/>
    <x v="2"/>
    <x v="9"/>
    <x v="2"/>
    <x v="2"/>
    <x v="9"/>
    <x v="5"/>
    <x v="2"/>
    <x v="305"/>
    <x v="0"/>
    <x v="9"/>
    <x v="719"/>
    <x v="100"/>
    <x v="738"/>
  </r>
  <r>
    <x v="814"/>
    <x v="558"/>
    <x v="2"/>
    <x v="9"/>
    <x v="4"/>
    <x v="2"/>
    <x v="1"/>
    <x v="7"/>
    <x v="1"/>
    <x v="64"/>
    <x v="1"/>
    <x v="4"/>
    <x v="258"/>
    <x v="79"/>
    <x v="216"/>
  </r>
  <r>
    <x v="815"/>
    <x v="558"/>
    <x v="2"/>
    <x v="9"/>
    <x v="2"/>
    <x v="2"/>
    <x v="1"/>
    <x v="0"/>
    <x v="1"/>
    <x v="50"/>
    <x v="2"/>
    <x v="4"/>
    <x v="229"/>
    <x v="79"/>
    <x v="145"/>
  </r>
  <r>
    <x v="816"/>
    <x v="559"/>
    <x v="2"/>
    <x v="9"/>
    <x v="0"/>
    <x v="1"/>
    <x v="4"/>
    <x v="1"/>
    <x v="0"/>
    <x v="473"/>
    <x v="0"/>
    <x v="11"/>
    <x v="732"/>
    <x v="101"/>
    <x v="700"/>
  </r>
  <r>
    <x v="817"/>
    <x v="559"/>
    <x v="2"/>
    <x v="9"/>
    <x v="0"/>
    <x v="3"/>
    <x v="6"/>
    <x v="8"/>
    <x v="39"/>
    <x v="3"/>
    <x v="0"/>
    <x v="1"/>
    <x v="365"/>
    <x v="86"/>
    <x v="468"/>
  </r>
  <r>
    <x v="818"/>
    <x v="560"/>
    <x v="2"/>
    <x v="9"/>
    <x v="0"/>
    <x v="3"/>
    <x v="6"/>
    <x v="8"/>
    <x v="9"/>
    <x v="6"/>
    <x v="0"/>
    <x v="1"/>
    <x v="56"/>
    <x v="18"/>
    <x v="90"/>
  </r>
  <r>
    <x v="819"/>
    <x v="560"/>
    <x v="2"/>
    <x v="9"/>
    <x v="0"/>
    <x v="1"/>
    <x v="8"/>
    <x v="1"/>
    <x v="0"/>
    <x v="357"/>
    <x v="0"/>
    <x v="10"/>
    <x v="461"/>
    <x v="92"/>
    <x v="390"/>
  </r>
  <r>
    <x v="820"/>
    <x v="560"/>
    <x v="2"/>
    <x v="9"/>
    <x v="2"/>
    <x v="3"/>
    <x v="6"/>
    <x v="5"/>
    <x v="36"/>
    <x v="3"/>
    <x v="0"/>
    <x v="1"/>
    <x v="347"/>
    <x v="83"/>
    <x v="444"/>
  </r>
  <r>
    <x v="821"/>
    <x v="560"/>
    <x v="2"/>
    <x v="9"/>
    <x v="3"/>
    <x v="3"/>
    <x v="6"/>
    <x v="3"/>
    <x v="25"/>
    <x v="6"/>
    <x v="1"/>
    <x v="1"/>
    <x v="236"/>
    <x v="62"/>
    <x v="311"/>
  </r>
  <r>
    <x v="822"/>
    <x v="561"/>
    <x v="2"/>
    <x v="9"/>
    <x v="3"/>
    <x v="2"/>
    <x v="1"/>
    <x v="2"/>
    <x v="2"/>
    <x v="61"/>
    <x v="3"/>
    <x v="4"/>
    <x v="349"/>
    <x v="89"/>
    <x v="202"/>
  </r>
  <r>
    <x v="823"/>
    <x v="561"/>
    <x v="2"/>
    <x v="9"/>
    <x v="2"/>
    <x v="1"/>
    <x v="4"/>
    <x v="0"/>
    <x v="1"/>
    <x v="474"/>
    <x v="1"/>
    <x v="11"/>
    <x v="800"/>
    <x v="103"/>
    <x v="767"/>
  </r>
  <r>
    <x v="824"/>
    <x v="562"/>
    <x v="2"/>
    <x v="9"/>
    <x v="3"/>
    <x v="2"/>
    <x v="1"/>
    <x v="3"/>
    <x v="3"/>
    <x v="81"/>
    <x v="2"/>
    <x v="4"/>
    <x v="467"/>
    <x v="91"/>
    <x v="481"/>
  </r>
  <r>
    <x v="825"/>
    <x v="563"/>
    <x v="2"/>
    <x v="9"/>
    <x v="4"/>
    <x v="3"/>
    <x v="3"/>
    <x v="7"/>
    <x v="8"/>
    <x v="0"/>
    <x v="0"/>
    <x v="0"/>
    <x v="20"/>
    <x v="6"/>
    <x v="23"/>
  </r>
  <r>
    <x v="826"/>
    <x v="563"/>
    <x v="2"/>
    <x v="9"/>
    <x v="0"/>
    <x v="2"/>
    <x v="1"/>
    <x v="1"/>
    <x v="2"/>
    <x v="70"/>
    <x v="1"/>
    <x v="4"/>
    <x v="395"/>
    <x v="89"/>
    <x v="401"/>
  </r>
  <r>
    <x v="827"/>
    <x v="564"/>
    <x v="2"/>
    <x v="10"/>
    <x v="3"/>
    <x v="2"/>
    <x v="1"/>
    <x v="3"/>
    <x v="1"/>
    <x v="57"/>
    <x v="1"/>
    <x v="4"/>
    <x v="251"/>
    <x v="79"/>
    <x v="197"/>
  </r>
  <r>
    <x v="828"/>
    <x v="565"/>
    <x v="2"/>
    <x v="10"/>
    <x v="1"/>
    <x v="0"/>
    <x v="5"/>
    <x v="4"/>
    <x v="0"/>
    <x v="155"/>
    <x v="1"/>
    <x v="6"/>
    <x v="191"/>
    <x v="77"/>
    <x v="99"/>
  </r>
  <r>
    <x v="829"/>
    <x v="566"/>
    <x v="2"/>
    <x v="10"/>
    <x v="3"/>
    <x v="3"/>
    <x v="6"/>
    <x v="2"/>
    <x v="33"/>
    <x v="4"/>
    <x v="2"/>
    <x v="1"/>
    <x v="294"/>
    <x v="80"/>
    <x v="317"/>
  </r>
  <r>
    <x v="830"/>
    <x v="567"/>
    <x v="2"/>
    <x v="10"/>
    <x v="2"/>
    <x v="3"/>
    <x v="6"/>
    <x v="5"/>
    <x v="18"/>
    <x v="5"/>
    <x v="0"/>
    <x v="1"/>
    <x v="148"/>
    <x v="42"/>
    <x v="219"/>
  </r>
  <r>
    <x v="831"/>
    <x v="568"/>
    <x v="2"/>
    <x v="10"/>
    <x v="4"/>
    <x v="1"/>
    <x v="8"/>
    <x v="7"/>
    <x v="1"/>
    <x v="389"/>
    <x v="0"/>
    <x v="10"/>
    <x v="681"/>
    <x v="99"/>
    <x v="689"/>
  </r>
  <r>
    <x v="832"/>
    <x v="568"/>
    <x v="2"/>
    <x v="10"/>
    <x v="3"/>
    <x v="0"/>
    <x v="5"/>
    <x v="2"/>
    <x v="1"/>
    <x v="148"/>
    <x v="0"/>
    <x v="6"/>
    <x v="426"/>
    <x v="90"/>
    <x v="335"/>
  </r>
  <r>
    <x v="833"/>
    <x v="569"/>
    <x v="2"/>
    <x v="10"/>
    <x v="3"/>
    <x v="3"/>
    <x v="3"/>
    <x v="3"/>
    <x v="7"/>
    <x v="1"/>
    <x v="1"/>
    <x v="0"/>
    <x v="14"/>
    <x v="5"/>
    <x v="15"/>
  </r>
  <r>
    <x v="834"/>
    <x v="570"/>
    <x v="2"/>
    <x v="10"/>
    <x v="3"/>
    <x v="0"/>
    <x v="10"/>
    <x v="3"/>
    <x v="2"/>
    <x v="245"/>
    <x v="0"/>
    <x v="7"/>
    <x v="621"/>
    <x v="96"/>
    <x v="711"/>
  </r>
  <r>
    <x v="835"/>
    <x v="571"/>
    <x v="2"/>
    <x v="10"/>
    <x v="2"/>
    <x v="1"/>
    <x v="8"/>
    <x v="5"/>
    <x v="0"/>
    <x v="329"/>
    <x v="0"/>
    <x v="10"/>
    <x v="449"/>
    <x v="92"/>
    <x v="315"/>
  </r>
  <r>
    <x v="836"/>
    <x v="572"/>
    <x v="2"/>
    <x v="10"/>
    <x v="4"/>
    <x v="2"/>
    <x v="9"/>
    <x v="7"/>
    <x v="0"/>
    <x v="316"/>
    <x v="1"/>
    <x v="9"/>
    <x v="373"/>
    <x v="88"/>
    <x v="326"/>
  </r>
  <r>
    <x v="837"/>
    <x v="573"/>
    <x v="2"/>
    <x v="10"/>
    <x v="3"/>
    <x v="1"/>
    <x v="4"/>
    <x v="3"/>
    <x v="0"/>
    <x v="485"/>
    <x v="1"/>
    <x v="11"/>
    <x v="718"/>
    <x v="101"/>
    <x v="669"/>
  </r>
  <r>
    <x v="838"/>
    <x v="574"/>
    <x v="2"/>
    <x v="10"/>
    <x v="0"/>
    <x v="0"/>
    <x v="0"/>
    <x v="8"/>
    <x v="2"/>
    <x v="243"/>
    <x v="0"/>
    <x v="8"/>
    <x v="619"/>
    <x v="97"/>
    <x v="684"/>
  </r>
  <r>
    <x v="839"/>
    <x v="574"/>
    <x v="2"/>
    <x v="10"/>
    <x v="2"/>
    <x v="2"/>
    <x v="7"/>
    <x v="0"/>
    <x v="2"/>
    <x v="131"/>
    <x v="0"/>
    <x v="5"/>
    <x v="518"/>
    <x v="92"/>
    <x v="592"/>
  </r>
  <r>
    <x v="840"/>
    <x v="575"/>
    <x v="2"/>
    <x v="10"/>
    <x v="3"/>
    <x v="0"/>
    <x v="5"/>
    <x v="3"/>
    <x v="2"/>
    <x v="142"/>
    <x v="0"/>
    <x v="6"/>
    <x v="538"/>
    <x v="94"/>
    <x v="483"/>
  </r>
  <r>
    <x v="841"/>
    <x v="575"/>
    <x v="2"/>
    <x v="10"/>
    <x v="1"/>
    <x v="0"/>
    <x v="0"/>
    <x v="4"/>
    <x v="1"/>
    <x v="240"/>
    <x v="0"/>
    <x v="8"/>
    <x v="512"/>
    <x v="93"/>
    <x v="532"/>
  </r>
  <r>
    <x v="842"/>
    <x v="576"/>
    <x v="2"/>
    <x v="10"/>
    <x v="2"/>
    <x v="2"/>
    <x v="7"/>
    <x v="0"/>
    <x v="2"/>
    <x v="121"/>
    <x v="0"/>
    <x v="5"/>
    <x v="510"/>
    <x v="92"/>
    <x v="560"/>
  </r>
  <r>
    <x v="843"/>
    <x v="577"/>
    <x v="2"/>
    <x v="10"/>
    <x v="2"/>
    <x v="2"/>
    <x v="7"/>
    <x v="0"/>
    <x v="3"/>
    <x v="108"/>
    <x v="1"/>
    <x v="5"/>
    <x v="560"/>
    <x v="94"/>
    <x v="587"/>
  </r>
  <r>
    <x v="844"/>
    <x v="578"/>
    <x v="2"/>
    <x v="10"/>
    <x v="3"/>
    <x v="3"/>
    <x v="2"/>
    <x v="3"/>
    <x v="7"/>
    <x v="14"/>
    <x v="1"/>
    <x v="2"/>
    <x v="78"/>
    <x v="24"/>
    <x v="125"/>
  </r>
  <r>
    <x v="845"/>
    <x v="579"/>
    <x v="2"/>
    <x v="10"/>
    <x v="3"/>
    <x v="0"/>
    <x v="5"/>
    <x v="2"/>
    <x v="2"/>
    <x v="174"/>
    <x v="1"/>
    <x v="6"/>
    <x v="542"/>
    <x v="94"/>
    <x v="506"/>
  </r>
  <r>
    <x v="846"/>
    <x v="579"/>
    <x v="2"/>
    <x v="10"/>
    <x v="4"/>
    <x v="1"/>
    <x v="11"/>
    <x v="7"/>
    <x v="3"/>
    <x v="34"/>
    <x v="1"/>
    <x v="3"/>
    <x v="292"/>
    <x v="77"/>
    <x v="353"/>
  </r>
  <r>
    <x v="847"/>
    <x v="579"/>
    <x v="2"/>
    <x v="10"/>
    <x v="4"/>
    <x v="2"/>
    <x v="1"/>
    <x v="7"/>
    <x v="0"/>
    <x v="68"/>
    <x v="1"/>
    <x v="4"/>
    <x v="98"/>
    <x v="37"/>
    <x v="77"/>
  </r>
  <r>
    <x v="848"/>
    <x v="580"/>
    <x v="2"/>
    <x v="10"/>
    <x v="2"/>
    <x v="2"/>
    <x v="7"/>
    <x v="0"/>
    <x v="4"/>
    <x v="105"/>
    <x v="3"/>
    <x v="5"/>
    <x v="594"/>
    <x v="98"/>
    <x v="497"/>
  </r>
  <r>
    <x v="849"/>
    <x v="580"/>
    <x v="2"/>
    <x v="10"/>
    <x v="4"/>
    <x v="1"/>
    <x v="4"/>
    <x v="6"/>
    <x v="1"/>
    <x v="488"/>
    <x v="0"/>
    <x v="11"/>
    <x v="812"/>
    <x v="103"/>
    <x v="779"/>
  </r>
  <r>
    <x v="850"/>
    <x v="581"/>
    <x v="2"/>
    <x v="10"/>
    <x v="0"/>
    <x v="0"/>
    <x v="10"/>
    <x v="8"/>
    <x v="0"/>
    <x v="226"/>
    <x v="0"/>
    <x v="7"/>
    <x v="297"/>
    <x v="82"/>
    <x v="282"/>
  </r>
  <r>
    <x v="851"/>
    <x v="581"/>
    <x v="2"/>
    <x v="10"/>
    <x v="3"/>
    <x v="1"/>
    <x v="4"/>
    <x v="2"/>
    <x v="1"/>
    <x v="422"/>
    <x v="3"/>
    <x v="11"/>
    <x v="777"/>
    <x v="103"/>
    <x v="422"/>
  </r>
  <r>
    <x v="852"/>
    <x v="582"/>
    <x v="2"/>
    <x v="10"/>
    <x v="3"/>
    <x v="0"/>
    <x v="5"/>
    <x v="3"/>
    <x v="0"/>
    <x v="181"/>
    <x v="1"/>
    <x v="6"/>
    <x v="211"/>
    <x v="77"/>
    <x v="144"/>
  </r>
  <r>
    <x v="853"/>
    <x v="582"/>
    <x v="2"/>
    <x v="10"/>
    <x v="2"/>
    <x v="3"/>
    <x v="6"/>
    <x v="5"/>
    <x v="28"/>
    <x v="4"/>
    <x v="0"/>
    <x v="1"/>
    <x v="275"/>
    <x v="71"/>
    <x v="367"/>
  </r>
  <r>
    <x v="854"/>
    <x v="583"/>
    <x v="2"/>
    <x v="10"/>
    <x v="3"/>
    <x v="2"/>
    <x v="1"/>
    <x v="2"/>
    <x v="3"/>
    <x v="51"/>
    <x v="0"/>
    <x v="4"/>
    <x v="479"/>
    <x v="91"/>
    <x v="519"/>
  </r>
  <r>
    <x v="855"/>
    <x v="584"/>
    <x v="2"/>
    <x v="10"/>
    <x v="4"/>
    <x v="3"/>
    <x v="2"/>
    <x v="6"/>
    <x v="19"/>
    <x v="11"/>
    <x v="0"/>
    <x v="2"/>
    <x v="316"/>
    <x v="74"/>
    <x v="432"/>
  </r>
  <r>
    <x v="856"/>
    <x v="584"/>
    <x v="2"/>
    <x v="10"/>
    <x v="2"/>
    <x v="2"/>
    <x v="1"/>
    <x v="0"/>
    <x v="3"/>
    <x v="75"/>
    <x v="0"/>
    <x v="4"/>
    <x v="502"/>
    <x v="91"/>
    <x v="588"/>
  </r>
  <r>
    <x v="857"/>
    <x v="584"/>
    <x v="2"/>
    <x v="10"/>
    <x v="2"/>
    <x v="0"/>
    <x v="10"/>
    <x v="0"/>
    <x v="2"/>
    <x v="194"/>
    <x v="0"/>
    <x v="7"/>
    <x v="599"/>
    <x v="96"/>
    <x v="642"/>
  </r>
  <r>
    <x v="858"/>
    <x v="584"/>
    <x v="2"/>
    <x v="10"/>
    <x v="1"/>
    <x v="3"/>
    <x v="6"/>
    <x v="4"/>
    <x v="12"/>
    <x v="4"/>
    <x v="1"/>
    <x v="1"/>
    <x v="74"/>
    <x v="26"/>
    <x v="100"/>
  </r>
  <r>
    <x v="859"/>
    <x v="585"/>
    <x v="2"/>
    <x v="10"/>
    <x v="2"/>
    <x v="0"/>
    <x v="0"/>
    <x v="5"/>
    <x v="0"/>
    <x v="274"/>
    <x v="0"/>
    <x v="8"/>
    <x v="326"/>
    <x v="84"/>
    <x v="323"/>
  </r>
  <r>
    <x v="860"/>
    <x v="585"/>
    <x v="2"/>
    <x v="10"/>
    <x v="3"/>
    <x v="0"/>
    <x v="0"/>
    <x v="2"/>
    <x v="2"/>
    <x v="253"/>
    <x v="3"/>
    <x v="8"/>
    <x v="577"/>
    <x v="97"/>
    <x v="474"/>
  </r>
  <r>
    <x v="861"/>
    <x v="586"/>
    <x v="2"/>
    <x v="10"/>
    <x v="2"/>
    <x v="3"/>
    <x v="2"/>
    <x v="5"/>
    <x v="5"/>
    <x v="10"/>
    <x v="0"/>
    <x v="2"/>
    <x v="52"/>
    <x v="16"/>
    <x v="70"/>
  </r>
  <r>
    <x v="862"/>
    <x v="586"/>
    <x v="2"/>
    <x v="10"/>
    <x v="3"/>
    <x v="1"/>
    <x v="8"/>
    <x v="2"/>
    <x v="0"/>
    <x v="403"/>
    <x v="0"/>
    <x v="10"/>
    <x v="482"/>
    <x v="92"/>
    <x v="464"/>
  </r>
  <r>
    <x v="863"/>
    <x v="586"/>
    <x v="2"/>
    <x v="10"/>
    <x v="4"/>
    <x v="1"/>
    <x v="4"/>
    <x v="6"/>
    <x v="0"/>
    <x v="479"/>
    <x v="0"/>
    <x v="11"/>
    <x v="734"/>
    <x v="101"/>
    <x v="716"/>
  </r>
  <r>
    <x v="864"/>
    <x v="586"/>
    <x v="2"/>
    <x v="10"/>
    <x v="4"/>
    <x v="2"/>
    <x v="9"/>
    <x v="6"/>
    <x v="0"/>
    <x v="325"/>
    <x v="1"/>
    <x v="9"/>
    <x v="378"/>
    <x v="88"/>
    <x v="355"/>
  </r>
  <r>
    <x v="865"/>
    <x v="587"/>
    <x v="2"/>
    <x v="11"/>
    <x v="2"/>
    <x v="0"/>
    <x v="5"/>
    <x v="0"/>
    <x v="2"/>
    <x v="184"/>
    <x v="1"/>
    <x v="6"/>
    <x v="547"/>
    <x v="94"/>
    <x v="534"/>
  </r>
  <r>
    <x v="866"/>
    <x v="587"/>
    <x v="2"/>
    <x v="11"/>
    <x v="2"/>
    <x v="0"/>
    <x v="0"/>
    <x v="0"/>
    <x v="1"/>
    <x v="258"/>
    <x v="1"/>
    <x v="8"/>
    <x v="506"/>
    <x v="93"/>
    <x v="509"/>
  </r>
  <r>
    <x v="867"/>
    <x v="587"/>
    <x v="2"/>
    <x v="11"/>
    <x v="3"/>
    <x v="2"/>
    <x v="7"/>
    <x v="3"/>
    <x v="3"/>
    <x v="130"/>
    <x v="3"/>
    <x v="5"/>
    <x v="540"/>
    <x v="94"/>
    <x v="489"/>
  </r>
  <r>
    <x v="868"/>
    <x v="588"/>
    <x v="2"/>
    <x v="11"/>
    <x v="0"/>
    <x v="0"/>
    <x v="5"/>
    <x v="8"/>
    <x v="2"/>
    <x v="187"/>
    <x v="3"/>
    <x v="6"/>
    <x v="526"/>
    <x v="94"/>
    <x v="342"/>
  </r>
  <r>
    <x v="869"/>
    <x v="589"/>
    <x v="2"/>
    <x v="11"/>
    <x v="4"/>
    <x v="2"/>
    <x v="7"/>
    <x v="7"/>
    <x v="3"/>
    <x v="95"/>
    <x v="3"/>
    <x v="5"/>
    <x v="528"/>
    <x v="94"/>
    <x v="362"/>
  </r>
  <r>
    <x v="870"/>
    <x v="589"/>
    <x v="2"/>
    <x v="11"/>
    <x v="3"/>
    <x v="3"/>
    <x v="6"/>
    <x v="2"/>
    <x v="27"/>
    <x v="3"/>
    <x v="1"/>
    <x v="1"/>
    <x v="240"/>
    <x v="67"/>
    <x v="268"/>
  </r>
  <r>
    <x v="871"/>
    <x v="590"/>
    <x v="2"/>
    <x v="11"/>
    <x v="3"/>
    <x v="1"/>
    <x v="4"/>
    <x v="2"/>
    <x v="1"/>
    <x v="445"/>
    <x v="1"/>
    <x v="11"/>
    <x v="792"/>
    <x v="103"/>
    <x v="756"/>
  </r>
  <r>
    <x v="872"/>
    <x v="591"/>
    <x v="2"/>
    <x v="11"/>
    <x v="4"/>
    <x v="2"/>
    <x v="7"/>
    <x v="7"/>
    <x v="2"/>
    <x v="89"/>
    <x v="0"/>
    <x v="5"/>
    <x v="492"/>
    <x v="92"/>
    <x v="503"/>
  </r>
  <r>
    <x v="873"/>
    <x v="592"/>
    <x v="2"/>
    <x v="11"/>
    <x v="3"/>
    <x v="1"/>
    <x v="8"/>
    <x v="2"/>
    <x v="2"/>
    <x v="384"/>
    <x v="1"/>
    <x v="10"/>
    <x v="759"/>
    <x v="102"/>
    <x v="729"/>
  </r>
  <r>
    <x v="874"/>
    <x v="592"/>
    <x v="2"/>
    <x v="11"/>
    <x v="2"/>
    <x v="0"/>
    <x v="5"/>
    <x v="5"/>
    <x v="2"/>
    <x v="191"/>
    <x v="1"/>
    <x v="6"/>
    <x v="550"/>
    <x v="94"/>
    <x v="544"/>
  </r>
  <r>
    <x v="875"/>
    <x v="593"/>
    <x v="2"/>
    <x v="11"/>
    <x v="1"/>
    <x v="1"/>
    <x v="4"/>
    <x v="9"/>
    <x v="0"/>
    <x v="430"/>
    <x v="0"/>
    <x v="11"/>
    <x v="713"/>
    <x v="101"/>
    <x v="644"/>
  </r>
  <r>
    <x v="876"/>
    <x v="594"/>
    <x v="2"/>
    <x v="11"/>
    <x v="3"/>
    <x v="2"/>
    <x v="9"/>
    <x v="2"/>
    <x v="0"/>
    <x v="324"/>
    <x v="0"/>
    <x v="9"/>
    <x v="398"/>
    <x v="88"/>
    <x v="424"/>
  </r>
  <r>
    <x v="877"/>
    <x v="595"/>
    <x v="2"/>
    <x v="11"/>
    <x v="0"/>
    <x v="1"/>
    <x v="8"/>
    <x v="8"/>
    <x v="2"/>
    <x v="378"/>
    <x v="2"/>
    <x v="10"/>
    <x v="745"/>
    <x v="102"/>
    <x v="656"/>
  </r>
  <r>
    <x v="878"/>
    <x v="596"/>
    <x v="2"/>
    <x v="11"/>
    <x v="1"/>
    <x v="0"/>
    <x v="0"/>
    <x v="9"/>
    <x v="2"/>
    <x v="254"/>
    <x v="0"/>
    <x v="8"/>
    <x v="628"/>
    <x v="97"/>
    <x v="697"/>
  </r>
  <r>
    <x v="879"/>
    <x v="596"/>
    <x v="2"/>
    <x v="11"/>
    <x v="3"/>
    <x v="2"/>
    <x v="9"/>
    <x v="3"/>
    <x v="2"/>
    <x v="315"/>
    <x v="2"/>
    <x v="9"/>
    <x v="685"/>
    <x v="100"/>
    <x v="667"/>
  </r>
  <r>
    <x v="880"/>
    <x v="596"/>
    <x v="2"/>
    <x v="11"/>
    <x v="1"/>
    <x v="1"/>
    <x v="8"/>
    <x v="9"/>
    <x v="2"/>
    <x v="383"/>
    <x v="3"/>
    <x v="10"/>
    <x v="740"/>
    <x v="102"/>
    <x v="529"/>
  </r>
  <r>
    <x v="881"/>
    <x v="596"/>
    <x v="2"/>
    <x v="11"/>
    <x v="1"/>
    <x v="0"/>
    <x v="10"/>
    <x v="9"/>
    <x v="2"/>
    <x v="199"/>
    <x v="0"/>
    <x v="7"/>
    <x v="606"/>
    <x v="96"/>
    <x v="670"/>
  </r>
  <r>
    <x v="882"/>
    <x v="597"/>
    <x v="2"/>
    <x v="11"/>
    <x v="2"/>
    <x v="3"/>
    <x v="3"/>
    <x v="5"/>
    <x v="47"/>
    <x v="2"/>
    <x v="1"/>
    <x v="0"/>
    <x v="332"/>
    <x v="77"/>
    <x v="448"/>
  </r>
  <r>
    <x v="883"/>
    <x v="597"/>
    <x v="2"/>
    <x v="11"/>
    <x v="2"/>
    <x v="0"/>
    <x v="10"/>
    <x v="0"/>
    <x v="2"/>
    <x v="224"/>
    <x v="1"/>
    <x v="7"/>
    <x v="601"/>
    <x v="96"/>
    <x v="646"/>
  </r>
  <r>
    <x v="884"/>
    <x v="598"/>
    <x v="2"/>
    <x v="11"/>
    <x v="2"/>
    <x v="0"/>
    <x v="10"/>
    <x v="5"/>
    <x v="1"/>
    <x v="258"/>
    <x v="2"/>
    <x v="7"/>
    <x v="488"/>
    <x v="92"/>
    <x v="479"/>
  </r>
  <r>
    <x v="885"/>
    <x v="598"/>
    <x v="2"/>
    <x v="11"/>
    <x v="4"/>
    <x v="3"/>
    <x v="2"/>
    <x v="7"/>
    <x v="2"/>
    <x v="14"/>
    <x v="2"/>
    <x v="2"/>
    <x v="7"/>
    <x v="3"/>
    <x v="8"/>
  </r>
  <r>
    <x v="886"/>
    <x v="599"/>
    <x v="2"/>
    <x v="11"/>
    <x v="3"/>
    <x v="3"/>
    <x v="2"/>
    <x v="3"/>
    <x v="15"/>
    <x v="14"/>
    <x v="3"/>
    <x v="2"/>
    <x v="185"/>
    <x v="57"/>
    <x v="222"/>
  </r>
  <r>
    <x v="887"/>
    <x v="600"/>
    <x v="2"/>
    <x v="11"/>
    <x v="3"/>
    <x v="3"/>
    <x v="2"/>
    <x v="3"/>
    <x v="11"/>
    <x v="10"/>
    <x v="1"/>
    <x v="2"/>
    <x v="137"/>
    <x v="40"/>
    <x v="181"/>
  </r>
  <r>
    <x v="888"/>
    <x v="601"/>
    <x v="2"/>
    <x v="11"/>
    <x v="3"/>
    <x v="3"/>
    <x v="2"/>
    <x v="2"/>
    <x v="15"/>
    <x v="12"/>
    <x v="0"/>
    <x v="2"/>
    <x v="235"/>
    <x v="57"/>
    <x v="344"/>
  </r>
  <r>
    <x v="889"/>
    <x v="601"/>
    <x v="2"/>
    <x v="11"/>
    <x v="2"/>
    <x v="3"/>
    <x v="3"/>
    <x v="0"/>
    <x v="18"/>
    <x v="0"/>
    <x v="1"/>
    <x v="0"/>
    <x v="68"/>
    <x v="24"/>
    <x v="101"/>
  </r>
  <r>
    <x v="890"/>
    <x v="601"/>
    <x v="2"/>
    <x v="11"/>
    <x v="3"/>
    <x v="0"/>
    <x v="0"/>
    <x v="2"/>
    <x v="1"/>
    <x v="232"/>
    <x v="3"/>
    <x v="8"/>
    <x v="456"/>
    <x v="93"/>
    <x v="245"/>
  </r>
  <r>
    <x v="891"/>
    <x v="602"/>
    <x v="2"/>
    <x v="11"/>
    <x v="4"/>
    <x v="0"/>
    <x v="5"/>
    <x v="6"/>
    <x v="0"/>
    <x v="157"/>
    <x v="1"/>
    <x v="6"/>
    <x v="193"/>
    <x v="77"/>
    <x v="103"/>
  </r>
  <r>
    <x v="892"/>
    <x v="603"/>
    <x v="2"/>
    <x v="11"/>
    <x v="4"/>
    <x v="1"/>
    <x v="11"/>
    <x v="6"/>
    <x v="1"/>
    <x v="19"/>
    <x v="1"/>
    <x v="3"/>
    <x v="106"/>
    <x v="34"/>
    <x v="117"/>
  </r>
  <r>
    <x v="893"/>
    <x v="603"/>
    <x v="2"/>
    <x v="11"/>
    <x v="3"/>
    <x v="0"/>
    <x v="10"/>
    <x v="3"/>
    <x v="1"/>
    <x v="215"/>
    <x v="1"/>
    <x v="7"/>
    <x v="489"/>
    <x v="92"/>
    <x v="486"/>
  </r>
  <r>
    <x v="894"/>
    <x v="604"/>
    <x v="2"/>
    <x v="11"/>
    <x v="3"/>
    <x v="2"/>
    <x v="9"/>
    <x v="2"/>
    <x v="1"/>
    <x v="303"/>
    <x v="0"/>
    <x v="9"/>
    <x v="582"/>
    <x v="95"/>
    <x v="631"/>
  </r>
  <r>
    <x v="895"/>
    <x v="605"/>
    <x v="2"/>
    <x v="11"/>
    <x v="1"/>
    <x v="3"/>
    <x v="3"/>
    <x v="9"/>
    <x v="31"/>
    <x v="0"/>
    <x v="0"/>
    <x v="0"/>
    <x v="164"/>
    <x v="46"/>
    <x v="242"/>
  </r>
  <r>
    <x v="896"/>
    <x v="605"/>
    <x v="2"/>
    <x v="11"/>
    <x v="3"/>
    <x v="1"/>
    <x v="8"/>
    <x v="2"/>
    <x v="1"/>
    <x v="344"/>
    <x v="3"/>
    <x v="10"/>
    <x v="609"/>
    <x v="99"/>
    <x v="206"/>
  </r>
  <r>
    <x v="897"/>
    <x v="606"/>
    <x v="2"/>
    <x v="11"/>
    <x v="0"/>
    <x v="2"/>
    <x v="7"/>
    <x v="8"/>
    <x v="3"/>
    <x v="108"/>
    <x v="0"/>
    <x v="5"/>
    <x v="573"/>
    <x v="94"/>
    <x v="645"/>
  </r>
  <r>
    <x v="898"/>
    <x v="607"/>
    <x v="2"/>
    <x v="11"/>
    <x v="4"/>
    <x v="2"/>
    <x v="7"/>
    <x v="6"/>
    <x v="3"/>
    <x v="133"/>
    <x v="2"/>
    <x v="5"/>
    <x v="556"/>
    <x v="94"/>
    <x v="573"/>
  </r>
  <r>
    <x v="899"/>
    <x v="608"/>
    <x v="2"/>
    <x v="11"/>
    <x v="3"/>
    <x v="3"/>
    <x v="6"/>
    <x v="3"/>
    <x v="15"/>
    <x v="6"/>
    <x v="2"/>
    <x v="1"/>
    <x v="112"/>
    <x v="34"/>
    <x v="1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vCategory" cacheId="0" applyNumberFormats="0" applyBorderFormats="0" applyFontFormats="0" applyPatternFormats="0" applyAlignmentFormats="0" applyWidthHeightFormats="0" dataCaption="Values" showDrill="0" itemPrintTitles="1" indent="0" outline="1" outlineData="1">
  <location ref="A16:C22" firstHeaderRow="1" firstDataRow="2" firstDataCol="1"/>
  <pivotFields count="15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5"/>
  </rowFields>
  <colFields count="1">
    <field x="-2"/>
  </colFields>
  <dataFields count="2">
    <dataField name="Sum - Revenue" fld="12" baseField="0" baseItem="0" numFmtId="3"/>
    <dataField name="Sum - Profit" fld="14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vRegion" cacheId="0" applyNumberFormats="0" applyBorderFormats="0" applyFontFormats="0" applyPatternFormats="0" applyAlignmentFormats="0" applyWidthHeightFormats="0" dataCaption="Values" showDrill="0" itemPrintTitles="1" indent="0" outline="1" outlineData="1">
  <location ref="A5:D12" firstHeaderRow="1" firstDataRow="2" firstDataCol="1"/>
  <pivotFields count="15">
    <pivotField dataField="1" compact="0" showAll="0"/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4"/>
  </rowFields>
  <colFields count="1">
    <field x="-2"/>
  </colFields>
  <dataFields count="3">
    <dataField name="Sum - Revenue" fld="12" baseField="0" baseItem="0" numFmtId="3"/>
    <dataField name="Sum - Profit" fld="14" baseField="0" baseItem="0" numFmtId="3"/>
    <dataField name="Count - Ord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vMonth" cacheId="0" applyNumberFormats="0" applyBorderFormats="0" applyFontFormats="0" applyPatternFormats="0" applyAlignmentFormats="0" applyWidthHeightFormats="0" dataCaption="Values" showDrill="0" itemPrintTitles="1" indent="0" outline="1" outlineData="1">
  <location ref="G5:I19" firstHeaderRow="1" firstDataRow="2" firstDataCol="1"/>
  <pivotFields count="15"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3"/>
  </rowFields>
  <colFields count="1">
    <field x="-2"/>
  </colFields>
  <dataFields count="2">
    <dataField name="Sum - Revenue" fld="12" baseField="0" baseItem="0" numFmtId="3"/>
    <dataField name="Sum - Profit" fld="14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vProduct" cacheId="0" applyNumberFormats="0" applyBorderFormats="0" applyFontFormats="0" applyPatternFormats="0" applyAlignmentFormats="0" applyWidthHeightFormats="0" dataCaption="Values" showDrill="0" itemPrintTitles="1" indent="0" outline="1" outlineData="1">
  <location ref="L5:N19" firstHeaderRow="1" firstDataRow="2" firstDataCol="1"/>
  <pivotFields count="15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</pivotFields>
  <rowFields count="1">
    <field x="6"/>
  </rowFields>
  <colFields count="1">
    <field x="-2"/>
  </colFields>
  <dataFields count="2">
    <dataField name="Sum - Revenue" fld="12" baseField="0" baseItem="0" numFmtId="3"/>
    <dataField name="Sum - Profit" fld="14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O901" totalsRowShown="0">
  <autoFilter ref="A1:O901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Year"/>
    <tableColumn id="4" xr3:uid="{00000000-0010-0000-0000-000004000000}" name="Month"/>
    <tableColumn id="5" xr3:uid="{00000000-0010-0000-0000-000005000000}" name="Region"/>
    <tableColumn id="6" xr3:uid="{00000000-0010-0000-0000-000006000000}" name="Category"/>
    <tableColumn id="7" xr3:uid="{00000000-0010-0000-0000-000007000000}" name="Product"/>
    <tableColumn id="8" xr3:uid="{00000000-0010-0000-0000-000008000000}" name="Sales Rep"/>
    <tableColumn id="9" xr3:uid="{00000000-0010-0000-0000-000009000000}" name="Quantity"/>
    <tableColumn id="10" xr3:uid="{00000000-0010-0000-0000-00000A000000}" name="Unit Price"/>
    <tableColumn id="11" xr3:uid="{00000000-0010-0000-0000-00000B000000}" name="Discount %"/>
    <tableColumn id="12" xr3:uid="{00000000-0010-0000-0000-00000C000000}" name="Unit Cost"/>
    <tableColumn id="13" xr3:uid="{00000000-0010-0000-0000-00000D000000}" name="Revenue"/>
    <tableColumn id="14" xr3:uid="{00000000-0010-0000-0000-00000E000000}" name="Cost"/>
    <tableColumn id="15" xr3:uid="{00000000-0010-0000-0000-00000F000000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9"/>
    <pageSetUpPr fitToPage="1"/>
  </sheetPr>
  <dimension ref="A1:O52"/>
  <sheetViews>
    <sheetView showGridLines="0" tabSelected="1" topLeftCell="A5" zoomScale="95" zoomScaleNormal="161" workbookViewId="0">
      <selection activeCell="E6" sqref="E6:F7"/>
    </sheetView>
  </sheetViews>
  <sheetFormatPr defaultColWidth="8.6640625" defaultRowHeight="14.4" x14ac:dyDescent="0.3"/>
  <cols>
    <col min="1" max="1" width="2" customWidth="1"/>
    <col min="2" max="3" width="14" customWidth="1"/>
    <col min="4" max="4" width="2" customWidth="1"/>
    <col min="5" max="14" width="13" customWidth="1"/>
    <col min="15" max="15" width="2" customWidth="1"/>
  </cols>
  <sheetData>
    <row r="1" spans="1:15" ht="39.75" customHeight="1" x14ac:dyDescent="0.3">
      <c r="A1" s="15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19.5" customHeight="1" x14ac:dyDescent="0.3">
      <c r="A2" s="15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5"/>
    </row>
    <row r="3" spans="1:15" ht="3.75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7.5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24" customHeight="1" x14ac:dyDescent="0.3">
      <c r="A5" s="17"/>
      <c r="B5" s="12" t="s">
        <v>2</v>
      </c>
      <c r="C5" s="12"/>
      <c r="D5" s="17"/>
      <c r="E5" s="11" t="s">
        <v>3</v>
      </c>
      <c r="F5" s="11"/>
      <c r="G5" s="10" t="s">
        <v>4</v>
      </c>
      <c r="H5" s="10"/>
      <c r="I5" s="9" t="s">
        <v>5</v>
      </c>
      <c r="J5" s="9"/>
      <c r="K5" s="8" t="s">
        <v>6</v>
      </c>
      <c r="L5" s="8"/>
      <c r="M5" s="7" t="s">
        <v>7</v>
      </c>
      <c r="N5" s="7"/>
      <c r="O5" s="17"/>
    </row>
    <row r="6" spans="1:15" ht="15" customHeight="1" x14ac:dyDescent="0.3">
      <c r="A6" s="17"/>
      <c r="B6" s="6" t="s">
        <v>8</v>
      </c>
      <c r="C6" s="6"/>
      <c r="D6" s="17"/>
      <c r="E6" s="5">
        <f>Calc!B9</f>
        <v>24289864.5</v>
      </c>
      <c r="F6" s="5"/>
      <c r="G6" s="4">
        <f>Calc!C9</f>
        <v>6356344.5</v>
      </c>
      <c r="H6" s="4"/>
      <c r="I6" s="3">
        <f>IF(Calc!B9=0,0,Calc!C9/Calc!B9)</f>
        <v>0.26168711233444714</v>
      </c>
      <c r="J6" s="3"/>
      <c r="K6" s="2">
        <f>Calc!D9</f>
        <v>900</v>
      </c>
      <c r="L6" s="2"/>
      <c r="M6" s="1">
        <f>IF(Calc!D9=0,0,Calc!B9/Calc!D9)</f>
        <v>26988.738333333335</v>
      </c>
      <c r="N6" s="1"/>
      <c r="O6" s="17"/>
    </row>
    <row r="7" spans="1:15" x14ac:dyDescent="0.3">
      <c r="A7" s="17"/>
      <c r="B7" s="6"/>
      <c r="C7" s="6"/>
      <c r="D7" s="17"/>
      <c r="E7" s="5"/>
      <c r="F7" s="5"/>
      <c r="G7" s="4"/>
      <c r="H7" s="4"/>
      <c r="I7" s="3"/>
      <c r="J7" s="3"/>
      <c r="K7" s="2"/>
      <c r="L7" s="2"/>
      <c r="M7" s="1"/>
      <c r="N7" s="1"/>
      <c r="O7" s="17"/>
    </row>
    <row r="8" spans="1:15" ht="18" customHeight="1" x14ac:dyDescent="0.3">
      <c r="A8" s="17"/>
      <c r="B8" s="6"/>
      <c r="C8" s="6"/>
      <c r="D8" s="17"/>
      <c r="E8" s="76" t="str">
        <f>"Top region: "&amp;INDEX(Calc!A4:A8,MATCH(MAX(Calc!B4:B8),Calc!B4:B8,0))</f>
        <v>Top region: South</v>
      </c>
      <c r="F8" s="76"/>
      <c r="G8" s="77" t="str">
        <f>"Best month: "&amp;INDEX(Calc!A13:A24,MATCH(MAX(Calc!B13:B24),Calc!B13:B24,0))</f>
        <v>Best month: 11 Nov</v>
      </c>
      <c r="H8" s="77"/>
      <c r="I8" s="78" t="s">
        <v>9</v>
      </c>
      <c r="J8" s="78"/>
      <c r="K8" s="79" t="s">
        <v>10</v>
      </c>
      <c r="L8" s="79"/>
      <c r="M8" s="80" t="s">
        <v>11</v>
      </c>
      <c r="N8" s="80"/>
      <c r="O8" s="17"/>
    </row>
    <row r="9" spans="1:15" ht="7.5" customHeight="1" x14ac:dyDescent="0.3">
      <c r="A9" s="17"/>
      <c r="B9" s="6" t="s">
        <v>12</v>
      </c>
      <c r="C9" s="6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 ht="21.75" customHeight="1" x14ac:dyDescent="0.3">
      <c r="A10" s="17"/>
      <c r="B10" s="6"/>
      <c r="C10" s="6"/>
      <c r="D10" s="17"/>
      <c r="E10" s="81" t="s">
        <v>13</v>
      </c>
      <c r="F10" s="81"/>
      <c r="G10" s="81"/>
      <c r="H10" s="81"/>
      <c r="I10" s="81"/>
      <c r="J10" s="81"/>
      <c r="K10" s="81"/>
      <c r="L10" s="81"/>
      <c r="M10" s="81"/>
      <c r="N10" s="81"/>
      <c r="O10" s="17"/>
    </row>
    <row r="11" spans="1:15" x14ac:dyDescent="0.3">
      <c r="A11" s="17"/>
      <c r="B11" s="6"/>
      <c r="C11" s="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 ht="15" customHeight="1" x14ac:dyDescent="0.3">
      <c r="A12" s="17"/>
      <c r="B12" s="6" t="s">
        <v>14</v>
      </c>
      <c r="C12" s="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 x14ac:dyDescent="0.3">
      <c r="A13" s="17"/>
      <c r="B13" s="6"/>
      <c r="C13" s="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x14ac:dyDescent="0.3">
      <c r="A14" s="17"/>
      <c r="B14" s="6"/>
      <c r="C14" s="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 ht="15" customHeight="1" x14ac:dyDescent="0.3">
      <c r="A15" s="17"/>
      <c r="B15" s="6" t="s">
        <v>15</v>
      </c>
      <c r="C15" s="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x14ac:dyDescent="0.3">
      <c r="A16" s="17"/>
      <c r="B16" s="6"/>
      <c r="C16" s="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x14ac:dyDescent="0.3">
      <c r="A17" s="17"/>
      <c r="B17" s="6"/>
      <c r="C17" s="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x14ac:dyDescent="0.3">
      <c r="A18" s="17"/>
      <c r="B18" s="18"/>
      <c r="C18" s="19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ht="15" customHeight="1" x14ac:dyDescent="0.3">
      <c r="A19" s="17"/>
      <c r="B19" s="82" t="s">
        <v>16</v>
      </c>
      <c r="C19" s="8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x14ac:dyDescent="0.3">
      <c r="A20" s="17"/>
      <c r="B20" s="82"/>
      <c r="C20" s="8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3">
      <c r="A21" s="17"/>
      <c r="B21" s="82"/>
      <c r="C21" s="82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3">
      <c r="A22" s="17"/>
      <c r="B22" s="82"/>
      <c r="C22" s="82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3">
      <c r="A23" s="17"/>
      <c r="B23" s="82"/>
      <c r="C23" s="82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x14ac:dyDescent="0.3">
      <c r="A24" s="17"/>
      <c r="B24" s="82"/>
      <c r="C24" s="82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x14ac:dyDescent="0.3">
      <c r="A25" s="17"/>
      <c r="B25" s="82"/>
      <c r="C25" s="82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x14ac:dyDescent="0.3">
      <c r="A26" s="17"/>
      <c r="B26" s="82"/>
      <c r="C26" s="82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x14ac:dyDescent="0.3">
      <c r="A27" s="17"/>
      <c r="B27" s="82"/>
      <c r="C27" s="82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x14ac:dyDescent="0.3">
      <c r="A28" s="17"/>
      <c r="B28" s="82"/>
      <c r="C28" s="82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3">
      <c r="A29" s="17"/>
      <c r="B29" s="82"/>
      <c r="C29" s="82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x14ac:dyDescent="0.3">
      <c r="A30" s="17"/>
      <c r="B30" s="82"/>
      <c r="C30" s="82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x14ac:dyDescent="0.3">
      <c r="A31" s="17"/>
      <c r="B31" s="82"/>
      <c r="C31" s="82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x14ac:dyDescent="0.3">
      <c r="A32" s="17"/>
      <c r="B32" s="82"/>
      <c r="C32" s="82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x14ac:dyDescent="0.3">
      <c r="A33" s="17"/>
      <c r="B33" s="82"/>
      <c r="C33" s="82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x14ac:dyDescent="0.3">
      <c r="A34" s="17"/>
      <c r="B34" s="82"/>
      <c r="C34" s="82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x14ac:dyDescent="0.3">
      <c r="A35" s="17"/>
      <c r="B35" s="82"/>
      <c r="C35" s="82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x14ac:dyDescent="0.3">
      <c r="A36" s="17"/>
      <c r="B36" s="82"/>
      <c r="C36" s="82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x14ac:dyDescent="0.3">
      <c r="A37" s="17"/>
      <c r="B37" s="82"/>
      <c r="C37" s="82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x14ac:dyDescent="0.3">
      <c r="A38" s="17"/>
      <c r="B38" s="82"/>
      <c r="C38" s="82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x14ac:dyDescent="0.3">
      <c r="A39" s="17"/>
      <c r="B39" s="82"/>
      <c r="C39" s="82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x14ac:dyDescent="0.3">
      <c r="A40" s="17"/>
      <c r="B40" s="82"/>
      <c r="C40" s="82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x14ac:dyDescent="0.3">
      <c r="A41" s="17"/>
      <c r="B41" s="82"/>
      <c r="C41" s="82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x14ac:dyDescent="0.3">
      <c r="A42" s="17"/>
      <c r="B42" s="82"/>
      <c r="C42" s="82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21.75" customHeight="1" x14ac:dyDescent="0.3">
      <c r="A43" s="17"/>
      <c r="B43" s="82"/>
      <c r="C43" s="82"/>
      <c r="D43" s="17"/>
      <c r="E43" s="81" t="s">
        <v>17</v>
      </c>
      <c r="F43" s="81"/>
      <c r="G43" s="81"/>
      <c r="H43" s="81"/>
      <c r="I43" s="81"/>
      <c r="J43" s="81" t="s">
        <v>18</v>
      </c>
      <c r="K43" s="81"/>
      <c r="L43" s="81"/>
      <c r="M43" s="81"/>
      <c r="N43" s="81"/>
      <c r="O43" s="17"/>
    </row>
    <row r="44" spans="1:15" ht="19.5" customHeight="1" x14ac:dyDescent="0.3">
      <c r="A44" s="17"/>
      <c r="B44" s="82"/>
      <c r="C44" s="82"/>
      <c r="D44" s="17"/>
      <c r="E44" s="20" t="s">
        <v>19</v>
      </c>
      <c r="F44" s="20" t="s">
        <v>20</v>
      </c>
      <c r="G44" s="20" t="s">
        <v>21</v>
      </c>
      <c r="H44" s="20" t="s">
        <v>22</v>
      </c>
      <c r="I44" s="20" t="s">
        <v>23</v>
      </c>
      <c r="J44" s="20" t="s">
        <v>24</v>
      </c>
      <c r="K44" s="83" t="s">
        <v>25</v>
      </c>
      <c r="L44" s="83"/>
      <c r="M44" s="20" t="s">
        <v>20</v>
      </c>
      <c r="N44" s="20" t="s">
        <v>23</v>
      </c>
      <c r="O44" s="17"/>
    </row>
    <row r="45" spans="1:15" ht="21.75" customHeight="1" x14ac:dyDescent="0.3">
      <c r="A45" s="17"/>
      <c r="B45" s="82"/>
      <c r="C45" s="82"/>
      <c r="D45" s="17"/>
      <c r="E45" s="21" t="str">
        <f>Calc!A4</f>
        <v>Central</v>
      </c>
      <c r="F45" s="22">
        <f>Calc!B4</f>
        <v>2720063.5</v>
      </c>
      <c r="G45" s="22">
        <f>Calc!C4</f>
        <v>738653.5</v>
      </c>
      <c r="H45" s="23">
        <f>IF(Calc!B4=0,0,Calc!C4/Calc!B4)</f>
        <v>0.27155744709636376</v>
      </c>
      <c r="I45" s="23">
        <f>IF(Calc!$B$9=0,0,Calc!B4/Calc!$B$9)</f>
        <v>0.11198347771762993</v>
      </c>
      <c r="J45" s="24" t="str">
        <f>CHOOSE(1,"🥇","🥈","🥉","4","5")</f>
        <v>🥇</v>
      </c>
      <c r="K45" s="84" t="str">
        <f>Calc!H35</f>
        <v>Laptop</v>
      </c>
      <c r="L45" s="84"/>
      <c r="M45" s="22">
        <f>Calc!I35</f>
        <v>7053989.5</v>
      </c>
      <c r="N45" s="23">
        <f>IF(Calc!$B$9=0,0,M45/Calc!$B$9)</f>
        <v>0.29040876288132444</v>
      </c>
      <c r="O45" s="17"/>
    </row>
    <row r="46" spans="1:15" ht="21.75" customHeight="1" x14ac:dyDescent="0.3">
      <c r="A46" s="17"/>
      <c r="B46" s="82"/>
      <c r="C46" s="82"/>
      <c r="D46" s="17"/>
      <c r="E46" s="25" t="str">
        <f>Calc!A5</f>
        <v>East</v>
      </c>
      <c r="F46" s="26">
        <f>Calc!B5</f>
        <v>3409733</v>
      </c>
      <c r="G46" s="26">
        <f>Calc!C5</f>
        <v>905793</v>
      </c>
      <c r="H46" s="27">
        <f>IF(Calc!B5=0,0,Calc!C5/Calc!B5)</f>
        <v>0.26564924585004163</v>
      </c>
      <c r="I46" s="27">
        <f>IF(Calc!$B$9=0,0,Calc!B5/Calc!$B$9)</f>
        <v>0.14037678143490673</v>
      </c>
      <c r="J46" s="28" t="str">
        <f>CHOOSE(2,"🥇","🥈","🥉","4","5")</f>
        <v>🥈</v>
      </c>
      <c r="K46" s="85" t="str">
        <f>Calc!H36</f>
        <v>Smartphone</v>
      </c>
      <c r="L46" s="85"/>
      <c r="M46" s="26">
        <f>Calc!I36</f>
        <v>4855275.5</v>
      </c>
      <c r="N46" s="27">
        <f>IF(Calc!$B$9=0,0,M46/Calc!$B$9)</f>
        <v>0.19988894956577466</v>
      </c>
      <c r="O46" s="17"/>
    </row>
    <row r="47" spans="1:15" ht="21.75" customHeight="1" x14ac:dyDescent="0.3">
      <c r="A47" s="17"/>
      <c r="B47" s="82"/>
      <c r="C47" s="82"/>
      <c r="D47" s="17"/>
      <c r="E47" s="21" t="str">
        <f>Calc!A6</f>
        <v>North</v>
      </c>
      <c r="F47" s="22">
        <f>Calc!B6</f>
        <v>6207313</v>
      </c>
      <c r="G47" s="22">
        <f>Calc!C6</f>
        <v>1687633</v>
      </c>
      <c r="H47" s="23">
        <f>IF(Calc!B6=0,0,Calc!C6/Calc!B6)</f>
        <v>0.27187818626191396</v>
      </c>
      <c r="I47" s="23">
        <f>IF(Calc!$B$9=0,0,Calc!B6/Calc!$B$9)</f>
        <v>0.25555156966808112</v>
      </c>
      <c r="J47" s="24" t="str">
        <f>CHOOSE(3,"🥇","🥈","🥉","4","5")</f>
        <v>🥉</v>
      </c>
      <c r="K47" s="84" t="str">
        <f>Calc!H37</f>
        <v>Office Chair</v>
      </c>
      <c r="L47" s="84"/>
      <c r="M47" s="22">
        <f>Calc!I37</f>
        <v>2083738</v>
      </c>
      <c r="N47" s="23">
        <f>IF(Calc!$B$9=0,0,M47/Calc!$B$9)</f>
        <v>8.5786316346062777E-2</v>
      </c>
      <c r="O47" s="17"/>
    </row>
    <row r="48" spans="1:15" ht="21.75" customHeight="1" x14ac:dyDescent="0.3">
      <c r="A48" s="17"/>
      <c r="B48" s="82"/>
      <c r="C48" s="82"/>
      <c r="D48" s="17"/>
      <c r="E48" s="25" t="str">
        <f>Calc!A7</f>
        <v>South</v>
      </c>
      <c r="F48" s="26">
        <f>Calc!B7</f>
        <v>7004880.5</v>
      </c>
      <c r="G48" s="26">
        <f>Calc!C7</f>
        <v>1734580.5</v>
      </c>
      <c r="H48" s="27">
        <f>IF(Calc!B7=0,0,Calc!C7/Calc!B7)</f>
        <v>0.24762456690017767</v>
      </c>
      <c r="I48" s="27">
        <f>IF(Calc!$B$9=0,0,Calc!B7/Calc!$B$9)</f>
        <v>0.28838697309324224</v>
      </c>
      <c r="J48" s="28" t="str">
        <f>CHOOSE(4,"🥇","🥈","🥉","4","5")</f>
        <v>4</v>
      </c>
      <c r="K48" s="85" t="str">
        <f>Calc!H38</f>
        <v>Standing Desk</v>
      </c>
      <c r="L48" s="85"/>
      <c r="M48" s="26">
        <f>Calc!I38</f>
        <v>1840267.5</v>
      </c>
      <c r="N48" s="27">
        <f>IF(Calc!$B$9=0,0,M48/Calc!$B$9)</f>
        <v>7.5762773398756506E-2</v>
      </c>
      <c r="O48" s="17"/>
    </row>
    <row r="49" spans="1:15" ht="21.75" customHeight="1" x14ac:dyDescent="0.3">
      <c r="A49" s="17"/>
      <c r="B49" s="29"/>
      <c r="C49" s="30"/>
      <c r="D49" s="17"/>
      <c r="E49" s="21" t="str">
        <f>Calc!A8</f>
        <v>West</v>
      </c>
      <c r="F49" s="22">
        <f>Calc!B8</f>
        <v>4947874.5</v>
      </c>
      <c r="G49" s="22">
        <f>Calc!C8</f>
        <v>1289684.5</v>
      </c>
      <c r="H49" s="23">
        <f>IF(Calc!B8=0,0,Calc!C8/Calc!B8)</f>
        <v>0.2606542465860846</v>
      </c>
      <c r="I49" s="23">
        <f>IF(Calc!$B$9=0,0,Calc!B8/Calc!$B$9)</f>
        <v>0.20370119808614001</v>
      </c>
      <c r="J49" s="24" t="str">
        <f>CHOOSE(5,"🥇","🥈","🥉","4","5")</f>
        <v>5</v>
      </c>
      <c r="K49" s="84" t="str">
        <f>Calc!H39</f>
        <v>Air Purifier</v>
      </c>
      <c r="L49" s="84"/>
      <c r="M49" s="22">
        <f>Calc!I39</f>
        <v>1537535.5</v>
      </c>
      <c r="N49" s="23">
        <f>IF(Calc!$B$9=0,0,M49/Calc!$B$9)</f>
        <v>6.3299467973565685E-2</v>
      </c>
      <c r="O49" s="17"/>
    </row>
    <row r="50" spans="1:15" ht="7.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x14ac:dyDescent="0.3">
      <c r="A51" s="17"/>
      <c r="B51" s="86" t="s">
        <v>26</v>
      </c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17"/>
    </row>
    <row r="52" spans="1:15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</sheetData>
  <mergeCells count="33">
    <mergeCell ref="K49:L49"/>
    <mergeCell ref="B51:N51"/>
    <mergeCell ref="B9:C11"/>
    <mergeCell ref="E10:N10"/>
    <mergeCell ref="B12:C14"/>
    <mergeCell ref="B15:C17"/>
    <mergeCell ref="B19:C48"/>
    <mergeCell ref="E43:I43"/>
    <mergeCell ref="J43:N43"/>
    <mergeCell ref="K44:L44"/>
    <mergeCell ref="K45:L45"/>
    <mergeCell ref="K46:L46"/>
    <mergeCell ref="K47:L47"/>
    <mergeCell ref="K48:L48"/>
    <mergeCell ref="M6:N7"/>
    <mergeCell ref="E8:F8"/>
    <mergeCell ref="G8:H8"/>
    <mergeCell ref="I8:J8"/>
    <mergeCell ref="K8:L8"/>
    <mergeCell ref="M8:N8"/>
    <mergeCell ref="B6:C8"/>
    <mergeCell ref="E6:F7"/>
    <mergeCell ref="G6:H7"/>
    <mergeCell ref="I6:J7"/>
    <mergeCell ref="K6:L7"/>
    <mergeCell ref="B1:N1"/>
    <mergeCell ref="B2:N2"/>
    <mergeCell ref="B5:C5"/>
    <mergeCell ref="E5:F5"/>
    <mergeCell ref="G5:H5"/>
    <mergeCell ref="I5:J5"/>
    <mergeCell ref="K5:L5"/>
    <mergeCell ref="M5:N5"/>
  </mergeCells>
  <conditionalFormatting sqref="F45:F49">
    <cfRule type="dataBar" priority="2">
      <dataBar>
        <cfvo type="num" val="0"/>
        <cfvo type="max"/>
        <color rgb="FF8FB8FF"/>
      </dataBar>
      <extLst>
        <ext xmlns:x14="http://schemas.microsoft.com/office/spreadsheetml/2009/9/main" uri="{B025F937-C7B1-47D3-B67F-A62EFF666E3E}">
          <x14:id>{F9B43117-EF76-4680-916F-7FEF71C74A80}</x14:id>
        </ext>
      </extLst>
    </cfRule>
  </conditionalFormatting>
  <conditionalFormatting sqref="H45:H49">
    <cfRule type="iconSet" priority="4">
      <iconSet iconSet="3Arrows">
        <cfvo type="num" val="0"/>
        <cfvo type="num" val="0.25"/>
        <cfvo type="num" val="0.28000000000000003"/>
      </iconSet>
    </cfRule>
  </conditionalFormatting>
  <conditionalFormatting sqref="M45:M49">
    <cfRule type="dataBar" priority="3">
      <dataBar>
        <cfvo type="num" val="0"/>
        <cfvo type="max"/>
        <color rgb="FFB9A3D6"/>
      </dataBar>
      <extLst>
        <ext xmlns:x14="http://schemas.microsoft.com/office/spreadsheetml/2009/9/main" uri="{B025F937-C7B1-47D3-B67F-A62EFF666E3E}">
          <x14:id>{893469F0-2CEC-4B21-A4F4-2445697CB1A6}</x14:id>
        </ext>
      </extLst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B43117-EF76-4680-916F-7FEF71C74A80}">
            <x14:dataBar axisPosition="none">
              <x14:cfvo type="num">
                <xm:f>0</xm:f>
              </x14:cfvo>
              <x14:cfvo type="max"/>
              <x14:negativeFillColor rgb="FF8FB8FF"/>
            </x14:dataBar>
          </x14:cfRule>
          <xm:sqref>F45:F49</xm:sqref>
        </x14:conditionalFormatting>
        <x14:conditionalFormatting xmlns:xm="http://schemas.microsoft.com/office/excel/2006/main">
          <x14:cfRule type="dataBar" id="{893469F0-2CEC-4B21-A4F4-2445697CB1A6}">
            <x14:dataBar axisPosition="none">
              <x14:cfvo type="num">
                <xm:f>0</xm:f>
              </x14:cfvo>
              <x14:cfvo type="max"/>
              <x14:negativeFillColor rgb="FFB9A3D6"/>
            </x14:dataBar>
          </x14:cfRule>
          <xm:sqref>M45:M49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86FF"/>
  </sheetPr>
  <dimension ref="A1:N22"/>
  <sheetViews>
    <sheetView showGridLines="0" zoomScaleNormal="100" workbookViewId="0"/>
  </sheetViews>
  <sheetFormatPr defaultColWidth="8.6640625" defaultRowHeight="14.4" x14ac:dyDescent="0.3"/>
  <cols>
    <col min="1" max="2" width="16" customWidth="1"/>
    <col min="3" max="3" width="14" customWidth="1"/>
    <col min="4" max="4" width="18" customWidth="1"/>
    <col min="5" max="6" width="3" customWidth="1"/>
    <col min="7" max="7" width="14" customWidth="1"/>
    <col min="8" max="8" width="16" customWidth="1"/>
    <col min="9" max="9" width="14" customWidth="1"/>
    <col min="10" max="11" width="3" customWidth="1"/>
    <col min="12" max="12" width="18" customWidth="1"/>
    <col min="13" max="13" width="16" customWidth="1"/>
    <col min="14" max="14" width="14" customWidth="1"/>
  </cols>
  <sheetData>
    <row r="1" spans="1:14" ht="16.8" x14ac:dyDescent="0.3">
      <c r="A1" s="31" t="s">
        <v>27</v>
      </c>
    </row>
    <row r="3" spans="1:14" x14ac:dyDescent="0.3">
      <c r="A3" s="32" t="s">
        <v>28</v>
      </c>
      <c r="G3" s="32" t="s">
        <v>29</v>
      </c>
      <c r="L3" s="32" t="s">
        <v>30</v>
      </c>
    </row>
    <row r="5" spans="1:14" x14ac:dyDescent="0.3">
      <c r="A5" s="33"/>
      <c r="B5" s="34" t="s">
        <v>31</v>
      </c>
      <c r="C5" s="35"/>
      <c r="D5" s="36"/>
      <c r="G5" s="33"/>
      <c r="H5" s="34" t="s">
        <v>31</v>
      </c>
      <c r="I5" s="36"/>
      <c r="L5" s="33"/>
      <c r="M5" s="34" t="s">
        <v>31</v>
      </c>
      <c r="N5" s="36"/>
    </row>
    <row r="6" spans="1:14" x14ac:dyDescent="0.3">
      <c r="A6" s="37" t="s">
        <v>19</v>
      </c>
      <c r="B6" s="38" t="s">
        <v>32</v>
      </c>
      <c r="C6" s="39" t="s">
        <v>33</v>
      </c>
      <c r="D6" s="40" t="s">
        <v>34</v>
      </c>
      <c r="G6" s="37" t="s">
        <v>35</v>
      </c>
      <c r="H6" s="38" t="s">
        <v>32</v>
      </c>
      <c r="I6" s="40" t="s">
        <v>33</v>
      </c>
      <c r="L6" s="37" t="s">
        <v>25</v>
      </c>
      <c r="M6" s="38" t="s">
        <v>32</v>
      </c>
      <c r="N6" s="40" t="s">
        <v>33</v>
      </c>
    </row>
    <row r="7" spans="1:14" x14ac:dyDescent="0.3">
      <c r="A7" s="41" t="s">
        <v>36</v>
      </c>
      <c r="B7" s="42">
        <v>2720063.5</v>
      </c>
      <c r="C7" s="43">
        <v>738653.5</v>
      </c>
      <c r="D7" s="44">
        <v>109</v>
      </c>
      <c r="G7" s="41" t="s">
        <v>37</v>
      </c>
      <c r="H7" s="42">
        <v>1620607</v>
      </c>
      <c r="I7" s="45">
        <v>441707</v>
      </c>
      <c r="L7" s="41" t="s">
        <v>38</v>
      </c>
      <c r="M7" s="42">
        <v>1537535.5</v>
      </c>
      <c r="N7" s="45">
        <v>445035.5</v>
      </c>
    </row>
    <row r="8" spans="1:14" x14ac:dyDescent="0.3">
      <c r="A8" s="46" t="s">
        <v>39</v>
      </c>
      <c r="B8" s="47">
        <v>3409733</v>
      </c>
      <c r="C8" s="48">
        <v>905793</v>
      </c>
      <c r="D8" s="49">
        <v>116</v>
      </c>
      <c r="G8" s="46" t="s">
        <v>40</v>
      </c>
      <c r="H8" s="47">
        <v>1752835</v>
      </c>
      <c r="I8" s="50">
        <v>482495</v>
      </c>
      <c r="L8" s="46" t="s">
        <v>41</v>
      </c>
      <c r="M8" s="47">
        <v>968528.5</v>
      </c>
      <c r="N8" s="50">
        <v>313328.5</v>
      </c>
    </row>
    <row r="9" spans="1:14" x14ac:dyDescent="0.3">
      <c r="A9" s="46" t="s">
        <v>42</v>
      </c>
      <c r="B9" s="47">
        <v>6207313</v>
      </c>
      <c r="C9" s="48">
        <v>1687633</v>
      </c>
      <c r="D9" s="49">
        <v>247</v>
      </c>
      <c r="G9" s="46" t="s">
        <v>43</v>
      </c>
      <c r="H9" s="47">
        <v>1886227</v>
      </c>
      <c r="I9" s="50">
        <v>507527</v>
      </c>
      <c r="L9" s="46" t="s">
        <v>44</v>
      </c>
      <c r="M9" s="47">
        <v>643430.5</v>
      </c>
      <c r="N9" s="50">
        <v>277110.5</v>
      </c>
    </row>
    <row r="10" spans="1:14" x14ac:dyDescent="0.3">
      <c r="A10" s="46" t="s">
        <v>45</v>
      </c>
      <c r="B10" s="47">
        <v>7004880.5</v>
      </c>
      <c r="C10" s="48">
        <v>1734580.5</v>
      </c>
      <c r="D10" s="49">
        <v>243</v>
      </c>
      <c r="G10" s="46" t="s">
        <v>46</v>
      </c>
      <c r="H10" s="47">
        <v>1650096</v>
      </c>
      <c r="I10" s="50">
        <v>421216</v>
      </c>
      <c r="L10" s="46" t="s">
        <v>47</v>
      </c>
      <c r="M10" s="47">
        <v>729076</v>
      </c>
      <c r="N10" s="50">
        <v>321076</v>
      </c>
    </row>
    <row r="11" spans="1:14" x14ac:dyDescent="0.3">
      <c r="A11" s="46" t="s">
        <v>48</v>
      </c>
      <c r="B11" s="51">
        <v>4947874.5</v>
      </c>
      <c r="C11" s="52">
        <v>1289684.5</v>
      </c>
      <c r="D11" s="53">
        <v>185</v>
      </c>
      <c r="G11" s="46" t="s">
        <v>49</v>
      </c>
      <c r="H11" s="47">
        <v>2119832</v>
      </c>
      <c r="I11" s="50">
        <v>544552</v>
      </c>
      <c r="L11" s="46" t="s">
        <v>50</v>
      </c>
      <c r="M11" s="47">
        <v>7053989.5</v>
      </c>
      <c r="N11" s="50">
        <v>1383989.5</v>
      </c>
    </row>
    <row r="12" spans="1:14" x14ac:dyDescent="0.3">
      <c r="A12" s="54" t="s">
        <v>51</v>
      </c>
      <c r="B12" s="55">
        <v>24289864.5</v>
      </c>
      <c r="C12" s="56">
        <v>6356344.5</v>
      </c>
      <c r="D12" s="57">
        <v>900</v>
      </c>
      <c r="G12" s="46" t="s">
        <v>52</v>
      </c>
      <c r="H12" s="47">
        <v>1678147.5</v>
      </c>
      <c r="I12" s="50">
        <v>435907.5</v>
      </c>
      <c r="L12" s="46" t="s">
        <v>53</v>
      </c>
      <c r="M12" s="47">
        <v>1482889.5</v>
      </c>
      <c r="N12" s="50">
        <v>346889.5</v>
      </c>
    </row>
    <row r="13" spans="1:14" x14ac:dyDescent="0.3">
      <c r="G13" s="46" t="s">
        <v>54</v>
      </c>
      <c r="H13" s="47">
        <v>1346851.5</v>
      </c>
      <c r="I13" s="50">
        <v>346971.5</v>
      </c>
      <c r="L13" s="46" t="s">
        <v>55</v>
      </c>
      <c r="M13" s="47">
        <v>901982.5</v>
      </c>
      <c r="N13" s="50">
        <v>374982.5</v>
      </c>
    </row>
    <row r="14" spans="1:14" x14ac:dyDescent="0.3">
      <c r="A14" s="32" t="s">
        <v>56</v>
      </c>
      <c r="G14" s="46" t="s">
        <v>57</v>
      </c>
      <c r="H14" s="47">
        <v>1714494.5</v>
      </c>
      <c r="I14" s="50">
        <v>426174.5</v>
      </c>
      <c r="L14" s="46" t="s">
        <v>58</v>
      </c>
      <c r="M14" s="47">
        <v>2083738</v>
      </c>
      <c r="N14" s="50">
        <v>625738</v>
      </c>
    </row>
    <row r="15" spans="1:14" x14ac:dyDescent="0.3">
      <c r="G15" s="46" t="s">
        <v>59</v>
      </c>
      <c r="H15" s="47">
        <v>2031742.5</v>
      </c>
      <c r="I15" s="50">
        <v>565342.5</v>
      </c>
      <c r="L15" s="46" t="s">
        <v>60</v>
      </c>
      <c r="M15" s="47">
        <v>4855275.5</v>
      </c>
      <c r="N15" s="50">
        <v>1003275.5</v>
      </c>
    </row>
    <row r="16" spans="1:14" x14ac:dyDescent="0.3">
      <c r="A16" s="33"/>
      <c r="B16" s="34" t="s">
        <v>31</v>
      </c>
      <c r="C16" s="36"/>
      <c r="G16" s="46" t="s">
        <v>61</v>
      </c>
      <c r="H16" s="47">
        <v>2577860.5</v>
      </c>
      <c r="I16" s="50">
        <v>680360.5</v>
      </c>
      <c r="L16" s="46" t="s">
        <v>62</v>
      </c>
      <c r="M16" s="47">
        <v>1840267.5</v>
      </c>
      <c r="N16" s="50">
        <v>502767.5</v>
      </c>
    </row>
    <row r="17" spans="1:14" x14ac:dyDescent="0.3">
      <c r="A17" s="37" t="s">
        <v>63</v>
      </c>
      <c r="B17" s="38" t="s">
        <v>32</v>
      </c>
      <c r="C17" s="40" t="s">
        <v>33</v>
      </c>
      <c r="G17" s="46" t="s">
        <v>64</v>
      </c>
      <c r="H17" s="47">
        <v>3173388</v>
      </c>
      <c r="I17" s="50">
        <v>820838</v>
      </c>
      <c r="L17" s="46" t="s">
        <v>65</v>
      </c>
      <c r="M17" s="47">
        <v>1295197.5</v>
      </c>
      <c r="N17" s="50">
        <v>404197.5</v>
      </c>
    </row>
    <row r="18" spans="1:14" x14ac:dyDescent="0.3">
      <c r="A18" s="41" t="s">
        <v>66</v>
      </c>
      <c r="B18" s="42">
        <v>4315622.5</v>
      </c>
      <c r="C18" s="45">
        <v>1196122.5</v>
      </c>
      <c r="G18" s="46" t="s">
        <v>67</v>
      </c>
      <c r="H18" s="51">
        <v>2737783</v>
      </c>
      <c r="I18" s="58">
        <v>683253</v>
      </c>
      <c r="L18" s="46" t="s">
        <v>68</v>
      </c>
      <c r="M18" s="51">
        <v>897954</v>
      </c>
      <c r="N18" s="58">
        <v>357954</v>
      </c>
    </row>
    <row r="19" spans="1:14" x14ac:dyDescent="0.3">
      <c r="A19" s="46" t="s">
        <v>69</v>
      </c>
      <c r="B19" s="47">
        <v>12807219</v>
      </c>
      <c r="C19" s="50">
        <v>2745219</v>
      </c>
      <c r="G19" s="54" t="s">
        <v>51</v>
      </c>
      <c r="H19" s="55">
        <v>24289864.5</v>
      </c>
      <c r="I19" s="59">
        <v>6356344.5</v>
      </c>
      <c r="L19" s="54" t="s">
        <v>51</v>
      </c>
      <c r="M19" s="55">
        <v>24289864.5</v>
      </c>
      <c r="N19" s="59">
        <v>6356344.5</v>
      </c>
    </row>
    <row r="20" spans="1:14" x14ac:dyDescent="0.3">
      <c r="A20" s="46" t="s">
        <v>70</v>
      </c>
      <c r="B20" s="47">
        <v>4892534</v>
      </c>
      <c r="C20" s="50">
        <v>1441834</v>
      </c>
    </row>
    <row r="21" spans="1:14" x14ac:dyDescent="0.3">
      <c r="A21" s="46" t="s">
        <v>71</v>
      </c>
      <c r="B21" s="51">
        <v>2274489</v>
      </c>
      <c r="C21" s="58">
        <v>973169</v>
      </c>
    </row>
    <row r="22" spans="1:14" x14ac:dyDescent="0.3">
      <c r="A22" s="54" t="s">
        <v>51</v>
      </c>
      <c r="B22" s="55">
        <v>24289864.5</v>
      </c>
      <c r="C22" s="59">
        <v>6356344.5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J46"/>
  <sheetViews>
    <sheetView showGridLines="0" topLeftCell="A30" zoomScaleNormal="100" workbookViewId="0"/>
  </sheetViews>
  <sheetFormatPr defaultColWidth="8.6640625" defaultRowHeight="14.4" x14ac:dyDescent="0.3"/>
  <cols>
    <col min="1" max="1" width="18" customWidth="1"/>
    <col min="2" max="3" width="14" customWidth="1"/>
    <col min="4" max="4" width="12" customWidth="1"/>
    <col min="5" max="5" width="14" customWidth="1"/>
    <col min="6" max="6" width="3" customWidth="1"/>
    <col min="7" max="7" width="8" customWidth="1"/>
    <col min="8" max="8" width="18" customWidth="1"/>
    <col min="9" max="9" width="14" customWidth="1"/>
    <col min="10" max="10" width="10" customWidth="1"/>
  </cols>
  <sheetData>
    <row r="1" spans="1:4" x14ac:dyDescent="0.3">
      <c r="A1" s="60" t="s">
        <v>72</v>
      </c>
    </row>
    <row r="2" spans="1:4" x14ac:dyDescent="0.3">
      <c r="A2" s="61" t="s">
        <v>19</v>
      </c>
    </row>
    <row r="3" spans="1:4" x14ac:dyDescent="0.3">
      <c r="A3" s="62" t="s">
        <v>19</v>
      </c>
      <c r="B3" s="62" t="s">
        <v>20</v>
      </c>
      <c r="C3" s="62" t="s">
        <v>21</v>
      </c>
      <c r="D3" s="62" t="s">
        <v>73</v>
      </c>
    </row>
    <row r="4" spans="1:4" x14ac:dyDescent="0.3">
      <c r="A4" s="63" t="str">
        <f>IF(OR(Pivots!A7="Grand Total",Pivots!A7="Total Result",Pivots!A7=""),"",Pivots!A7&amp;"")</f>
        <v>Central</v>
      </c>
      <c r="B4" s="64">
        <f>IF($A4="",0,N(Pivots!B7))</f>
        <v>2720063.5</v>
      </c>
      <c r="C4" s="64">
        <f>IF($A4="",0,N(Pivots!C7))</f>
        <v>738653.5</v>
      </c>
      <c r="D4" s="64">
        <f>IF($A4="",0,N(Pivots!D7))</f>
        <v>109</v>
      </c>
    </row>
    <row r="5" spans="1:4" x14ac:dyDescent="0.3">
      <c r="A5" s="63" t="str">
        <f>IF(OR(Pivots!A8="Grand Total",Pivots!A8="Total Result",Pivots!A8=""),"",Pivots!A8&amp;"")</f>
        <v>East</v>
      </c>
      <c r="B5" s="64">
        <f>IF($A5="",0,N(Pivots!B8))</f>
        <v>3409733</v>
      </c>
      <c r="C5" s="64">
        <f>IF($A5="",0,N(Pivots!C8))</f>
        <v>905793</v>
      </c>
      <c r="D5" s="64">
        <f>IF($A5="",0,N(Pivots!D8))</f>
        <v>116</v>
      </c>
    </row>
    <row r="6" spans="1:4" x14ac:dyDescent="0.3">
      <c r="A6" s="63" t="str">
        <f>IF(OR(Pivots!A9="Grand Total",Pivots!A9="Total Result",Pivots!A9=""),"",Pivots!A9&amp;"")</f>
        <v>North</v>
      </c>
      <c r="B6" s="64">
        <f>IF($A6="",0,N(Pivots!B9))</f>
        <v>6207313</v>
      </c>
      <c r="C6" s="64">
        <f>IF($A6="",0,N(Pivots!C9))</f>
        <v>1687633</v>
      </c>
      <c r="D6" s="64">
        <f>IF($A6="",0,N(Pivots!D9))</f>
        <v>247</v>
      </c>
    </row>
    <row r="7" spans="1:4" x14ac:dyDescent="0.3">
      <c r="A7" s="63" t="str">
        <f>IF(OR(Pivots!A10="Grand Total",Pivots!A10="Total Result",Pivots!A10=""),"",Pivots!A10&amp;"")</f>
        <v>South</v>
      </c>
      <c r="B7" s="64">
        <f>IF($A7="",0,N(Pivots!B10))</f>
        <v>7004880.5</v>
      </c>
      <c r="C7" s="64">
        <f>IF($A7="",0,N(Pivots!C10))</f>
        <v>1734580.5</v>
      </c>
      <c r="D7" s="64">
        <f>IF($A7="",0,N(Pivots!D10))</f>
        <v>243</v>
      </c>
    </row>
    <row r="8" spans="1:4" x14ac:dyDescent="0.3">
      <c r="A8" s="63" t="str">
        <f>IF(OR(Pivots!A11="Grand Total",Pivots!A11="Total Result",Pivots!A11=""),"",Pivots!A11&amp;"")</f>
        <v>West</v>
      </c>
      <c r="B8" s="64">
        <f>IF($A8="",0,N(Pivots!B11))</f>
        <v>4947874.5</v>
      </c>
      <c r="C8" s="64">
        <f>IF($A8="",0,N(Pivots!C11))</f>
        <v>1289684.5</v>
      </c>
      <c r="D8" s="64">
        <f>IF($A8="",0,N(Pivots!D11))</f>
        <v>185</v>
      </c>
    </row>
    <row r="9" spans="1:4" x14ac:dyDescent="0.3">
      <c r="A9" s="61" t="s">
        <v>74</v>
      </c>
      <c r="B9" s="65">
        <f>SUM(B4:B8)</f>
        <v>24289864.5</v>
      </c>
      <c r="C9" s="65">
        <f>SUM(C4:C8)</f>
        <v>6356344.5</v>
      </c>
      <c r="D9" s="65">
        <f>SUM(D4:D8)</f>
        <v>900</v>
      </c>
    </row>
    <row r="12" spans="1:4" x14ac:dyDescent="0.3">
      <c r="A12" s="62" t="s">
        <v>35</v>
      </c>
      <c r="B12" s="62" t="s">
        <v>20</v>
      </c>
      <c r="C12" s="62" t="s">
        <v>21</v>
      </c>
    </row>
    <row r="13" spans="1:4" x14ac:dyDescent="0.3">
      <c r="A13" s="63" t="str">
        <f>IF(OR(Pivots!G7="Grand Total",Pivots!G7="Total Result",Pivots!G7=""),"",Pivots!G7&amp;"")</f>
        <v>01 Jan</v>
      </c>
      <c r="B13" s="64">
        <f>IF($A13="",0,N(Pivots!H7))</f>
        <v>1620607</v>
      </c>
      <c r="C13" s="64">
        <f>IF($A13="",0,N(Pivots!I7))</f>
        <v>441707</v>
      </c>
    </row>
    <row r="14" spans="1:4" x14ac:dyDescent="0.3">
      <c r="A14" s="63" t="str">
        <f>IF(OR(Pivots!G8="Grand Total",Pivots!G8="Total Result",Pivots!G8=""),"",Pivots!G8&amp;"")</f>
        <v>02 Feb</v>
      </c>
      <c r="B14" s="64">
        <f>IF($A14="",0,N(Pivots!H8))</f>
        <v>1752835</v>
      </c>
      <c r="C14" s="64">
        <f>IF($A14="",0,N(Pivots!I8))</f>
        <v>482495</v>
      </c>
    </row>
    <row r="15" spans="1:4" x14ac:dyDescent="0.3">
      <c r="A15" s="63" t="str">
        <f>IF(OR(Pivots!G9="Grand Total",Pivots!G9="Total Result",Pivots!G9=""),"",Pivots!G9&amp;"")</f>
        <v>03 Mar</v>
      </c>
      <c r="B15" s="64">
        <f>IF($A15="",0,N(Pivots!H9))</f>
        <v>1886227</v>
      </c>
      <c r="C15" s="64">
        <f>IF($A15="",0,N(Pivots!I9))</f>
        <v>507527</v>
      </c>
    </row>
    <row r="16" spans="1:4" x14ac:dyDescent="0.3">
      <c r="A16" s="63" t="str">
        <f>IF(OR(Pivots!G10="Grand Total",Pivots!G10="Total Result",Pivots!G10=""),"",Pivots!G10&amp;"")</f>
        <v>04 Apr</v>
      </c>
      <c r="B16" s="64">
        <f>IF($A16="",0,N(Pivots!H10))</f>
        <v>1650096</v>
      </c>
      <c r="C16" s="64">
        <f>IF($A16="",0,N(Pivots!I10))</f>
        <v>421216</v>
      </c>
    </row>
    <row r="17" spans="1:3" x14ac:dyDescent="0.3">
      <c r="A17" s="63" t="str">
        <f>IF(OR(Pivots!G11="Grand Total",Pivots!G11="Total Result",Pivots!G11=""),"",Pivots!G11&amp;"")</f>
        <v>05 May</v>
      </c>
      <c r="B17" s="64">
        <f>IF($A17="",0,N(Pivots!H11))</f>
        <v>2119832</v>
      </c>
      <c r="C17" s="64">
        <f>IF($A17="",0,N(Pivots!I11))</f>
        <v>544552</v>
      </c>
    </row>
    <row r="18" spans="1:3" x14ac:dyDescent="0.3">
      <c r="A18" s="63" t="str">
        <f>IF(OR(Pivots!G12="Grand Total",Pivots!G12="Total Result",Pivots!G12=""),"",Pivots!G12&amp;"")</f>
        <v>06 Jun</v>
      </c>
      <c r="B18" s="64">
        <f>IF($A18="",0,N(Pivots!H12))</f>
        <v>1678147.5</v>
      </c>
      <c r="C18" s="64">
        <f>IF($A18="",0,N(Pivots!I12))</f>
        <v>435907.5</v>
      </c>
    </row>
    <row r="19" spans="1:3" x14ac:dyDescent="0.3">
      <c r="A19" s="63" t="str">
        <f>IF(OR(Pivots!G13="Grand Total",Pivots!G13="Total Result",Pivots!G13=""),"",Pivots!G13&amp;"")</f>
        <v>07 Jul</v>
      </c>
      <c r="B19" s="64">
        <f>IF($A19="",0,N(Pivots!H13))</f>
        <v>1346851.5</v>
      </c>
      <c r="C19" s="64">
        <f>IF($A19="",0,N(Pivots!I13))</f>
        <v>346971.5</v>
      </c>
    </row>
    <row r="20" spans="1:3" x14ac:dyDescent="0.3">
      <c r="A20" s="63" t="str">
        <f>IF(OR(Pivots!G14="Grand Total",Pivots!G14="Total Result",Pivots!G14=""),"",Pivots!G14&amp;"")</f>
        <v>08 Aug</v>
      </c>
      <c r="B20" s="64">
        <f>IF($A20="",0,N(Pivots!H14))</f>
        <v>1714494.5</v>
      </c>
      <c r="C20" s="64">
        <f>IF($A20="",0,N(Pivots!I14))</f>
        <v>426174.5</v>
      </c>
    </row>
    <row r="21" spans="1:3" x14ac:dyDescent="0.3">
      <c r="A21" s="63" t="str">
        <f>IF(OR(Pivots!G15="Grand Total",Pivots!G15="Total Result",Pivots!G15=""),"",Pivots!G15&amp;"")</f>
        <v>09 Sep</v>
      </c>
      <c r="B21" s="64">
        <f>IF($A21="",0,N(Pivots!H15))</f>
        <v>2031742.5</v>
      </c>
      <c r="C21" s="64">
        <f>IF($A21="",0,N(Pivots!I15))</f>
        <v>565342.5</v>
      </c>
    </row>
    <row r="22" spans="1:3" x14ac:dyDescent="0.3">
      <c r="A22" s="63" t="str">
        <f>IF(OR(Pivots!G16="Grand Total",Pivots!G16="Total Result",Pivots!G16=""),"",Pivots!G16&amp;"")</f>
        <v>10 Oct</v>
      </c>
      <c r="B22" s="64">
        <f>IF($A22="",0,N(Pivots!H16))</f>
        <v>2577860.5</v>
      </c>
      <c r="C22" s="64">
        <f>IF($A22="",0,N(Pivots!I16))</f>
        <v>680360.5</v>
      </c>
    </row>
    <row r="23" spans="1:3" x14ac:dyDescent="0.3">
      <c r="A23" s="63" t="str">
        <f>IF(OR(Pivots!G17="Grand Total",Pivots!G17="Total Result",Pivots!G17=""),"",Pivots!G17&amp;"")</f>
        <v>11 Nov</v>
      </c>
      <c r="B23" s="64">
        <f>IF($A23="",0,N(Pivots!H17))</f>
        <v>3173388</v>
      </c>
      <c r="C23" s="64">
        <f>IF($A23="",0,N(Pivots!I17))</f>
        <v>820838</v>
      </c>
    </row>
    <row r="24" spans="1:3" x14ac:dyDescent="0.3">
      <c r="A24" s="63" t="str">
        <f>IF(OR(Pivots!G18="Grand Total",Pivots!G18="Total Result",Pivots!G18=""),"",Pivots!G18&amp;"")</f>
        <v>12 Dec</v>
      </c>
      <c r="B24" s="64">
        <f>IF($A24="",0,N(Pivots!H18))</f>
        <v>2737783</v>
      </c>
      <c r="C24" s="64">
        <f>IF($A24="",0,N(Pivots!I18))</f>
        <v>683253</v>
      </c>
    </row>
    <row r="27" spans="1:3" x14ac:dyDescent="0.3">
      <c r="A27" s="62" t="s">
        <v>63</v>
      </c>
      <c r="B27" s="62" t="s">
        <v>20</v>
      </c>
      <c r="C27" s="62" t="s">
        <v>21</v>
      </c>
    </row>
    <row r="28" spans="1:3" x14ac:dyDescent="0.3">
      <c r="A28" s="63" t="str">
        <f>IF(OR(Pivots!A18="Grand Total",Pivots!A18="Total Result",Pivots!A18=""),"",Pivots!A18&amp;"")</f>
        <v>Appliances</v>
      </c>
      <c r="B28" s="64">
        <f>IF($A28="",0,N(Pivots!B18))</f>
        <v>4315622.5</v>
      </c>
      <c r="C28" s="64">
        <f>IF($A28="",0,N(Pivots!C18))</f>
        <v>1196122.5</v>
      </c>
    </row>
    <row r="29" spans="1:3" x14ac:dyDescent="0.3">
      <c r="A29" s="63" t="str">
        <f>IF(OR(Pivots!A19="Grand Total",Pivots!A19="Total Result",Pivots!A19=""),"",Pivots!A19&amp;"")</f>
        <v>Electronics</v>
      </c>
      <c r="B29" s="64">
        <f>IF($A29="",0,N(Pivots!B19))</f>
        <v>12807219</v>
      </c>
      <c r="C29" s="64">
        <f>IF($A29="",0,N(Pivots!C19))</f>
        <v>2745219</v>
      </c>
    </row>
    <row r="30" spans="1:3" x14ac:dyDescent="0.3">
      <c r="A30" s="63" t="str">
        <f>IF(OR(Pivots!A20="Grand Total",Pivots!A20="Total Result",Pivots!A20=""),"",Pivots!A20&amp;"")</f>
        <v>Furniture</v>
      </c>
      <c r="B30" s="64">
        <f>IF($A30="",0,N(Pivots!B20))</f>
        <v>4892534</v>
      </c>
      <c r="C30" s="64">
        <f>IF($A30="",0,N(Pivots!C20))</f>
        <v>1441834</v>
      </c>
    </row>
    <row r="31" spans="1:3" x14ac:dyDescent="0.3">
      <c r="A31" s="63" t="str">
        <f>IF(OR(Pivots!A21="Grand Total",Pivots!A21="Total Result",Pivots!A21=""),"",Pivots!A21&amp;"")</f>
        <v>Stationery</v>
      </c>
      <c r="B31" s="64">
        <f>IF($A31="",0,N(Pivots!B21))</f>
        <v>2274489</v>
      </c>
      <c r="C31" s="64">
        <f>IF($A31="",0,N(Pivots!C21))</f>
        <v>973169</v>
      </c>
    </row>
    <row r="34" spans="1:10" x14ac:dyDescent="0.3">
      <c r="A34" s="62" t="s">
        <v>25</v>
      </c>
      <c r="B34" s="62" t="s">
        <v>20</v>
      </c>
      <c r="C34" s="62" t="s">
        <v>21</v>
      </c>
      <c r="E34" s="62" t="s">
        <v>75</v>
      </c>
      <c r="G34" s="62" t="s">
        <v>24</v>
      </c>
      <c r="H34" s="62" t="s">
        <v>25</v>
      </c>
      <c r="I34" s="62" t="s">
        <v>20</v>
      </c>
      <c r="J34" s="62" t="s">
        <v>76</v>
      </c>
    </row>
    <row r="35" spans="1:10" x14ac:dyDescent="0.3">
      <c r="A35" s="63" t="str">
        <f>IF(OR(Pivots!L7="Grand Total",Pivots!L7="Total Result",Pivots!L7=""),"",Pivots!L7&amp;"")</f>
        <v>Air Purifier</v>
      </c>
      <c r="B35" s="64">
        <f>IF($A35="",0,N(Pivots!M7))</f>
        <v>1537535.5</v>
      </c>
      <c r="C35" s="64">
        <f>IF($A35="",0,N(Pivots!N7))</f>
        <v>445035.5</v>
      </c>
      <c r="E35" s="66">
        <f t="shared" ref="E35:E46" si="0">B35+ROW()/1000000</f>
        <v>1537535.500035</v>
      </c>
      <c r="G35" s="67">
        <v>1</v>
      </c>
      <c r="H35" s="67" t="str">
        <f>IF(I35=0,"-",INDEX($A$35:$A$46,J35))</f>
        <v>Laptop</v>
      </c>
      <c r="I35" s="68">
        <f>INDEX($B$35:$B$46,J35)</f>
        <v>7053989.5</v>
      </c>
      <c r="J35" s="67">
        <f>MATCH(LARGE($E$35:$E$46,G35),$E$35:$E$46,0)</f>
        <v>5</v>
      </c>
    </row>
    <row r="36" spans="1:10" x14ac:dyDescent="0.3">
      <c r="A36" s="63" t="str">
        <f>IF(OR(Pivots!L8="Grand Total",Pivots!L8="Total Result",Pivots!L8=""),"",Pivots!L8&amp;"")</f>
        <v>Bookshelf</v>
      </c>
      <c r="B36" s="64">
        <f>IF($A36="",0,N(Pivots!M8))</f>
        <v>968528.5</v>
      </c>
      <c r="C36" s="64">
        <f>IF($A36="",0,N(Pivots!N8))</f>
        <v>313328.5</v>
      </c>
      <c r="E36" s="66">
        <f t="shared" si="0"/>
        <v>968528.50003600004</v>
      </c>
      <c r="G36" s="67">
        <v>2</v>
      </c>
      <c r="H36" s="67" t="str">
        <f>IF(I36=0,"-",INDEX($A$35:$A$46,J36))</f>
        <v>Smartphone</v>
      </c>
      <c r="I36" s="68">
        <f>INDEX($B$35:$B$46,J36)</f>
        <v>4855275.5</v>
      </c>
      <c r="J36" s="67">
        <f>MATCH(LARGE($E$35:$E$46,G36),$E$35:$E$46,0)</f>
        <v>9</v>
      </c>
    </row>
    <row r="37" spans="1:10" x14ac:dyDescent="0.3">
      <c r="A37" s="63" t="str">
        <f>IF(OR(Pivots!L9="Grand Total",Pivots!L9="Total Result",Pivots!L9=""),"",Pivots!L9&amp;"")</f>
        <v>Desk Organizer</v>
      </c>
      <c r="B37" s="64">
        <f>IF($A37="",0,N(Pivots!M9))</f>
        <v>643430.5</v>
      </c>
      <c r="C37" s="64">
        <f>IF($A37="",0,N(Pivots!N9))</f>
        <v>277110.5</v>
      </c>
      <c r="E37" s="66">
        <f t="shared" si="0"/>
        <v>643430.50003700005</v>
      </c>
      <c r="G37" s="67">
        <v>3</v>
      </c>
      <c r="H37" s="67" t="str">
        <f>IF(I37=0,"-",INDEX($A$35:$A$46,J37))</f>
        <v>Office Chair</v>
      </c>
      <c r="I37" s="68">
        <f>INDEX($B$35:$B$46,J37)</f>
        <v>2083738</v>
      </c>
      <c r="J37" s="67">
        <f>MATCH(LARGE($E$35:$E$46,G37),$E$35:$E$46,0)</f>
        <v>8</v>
      </c>
    </row>
    <row r="38" spans="1:10" x14ac:dyDescent="0.3">
      <c r="A38" s="63" t="str">
        <f>IF(OR(Pivots!L10="Grand Total",Pivots!L10="Total Result",Pivots!L10=""),"",Pivots!L10&amp;"")</f>
        <v>Gel Pen Box</v>
      </c>
      <c r="B38" s="64">
        <f>IF($A38="",0,N(Pivots!M10))</f>
        <v>729076</v>
      </c>
      <c r="C38" s="64">
        <f>IF($A38="",0,N(Pivots!N10))</f>
        <v>321076</v>
      </c>
      <c r="E38" s="66">
        <f t="shared" si="0"/>
        <v>729076.00003800006</v>
      </c>
      <c r="G38" s="67">
        <v>4</v>
      </c>
      <c r="H38" s="67" t="str">
        <f>IF(I38=0,"-",INDEX($A$35:$A$46,J38))</f>
        <v>Standing Desk</v>
      </c>
      <c r="I38" s="68">
        <f>INDEX($B$35:$B$46,J38)</f>
        <v>1840267.5</v>
      </c>
      <c r="J38" s="67">
        <f>MATCH(LARGE($E$35:$E$46,G38),$E$35:$E$46,0)</f>
        <v>10</v>
      </c>
    </row>
    <row r="39" spans="1:10" x14ac:dyDescent="0.3">
      <c r="A39" s="63" t="str">
        <f>IF(OR(Pivots!L11="Grand Total",Pivots!L11="Total Result",Pivots!L11=""),"",Pivots!L11&amp;"")</f>
        <v>Laptop</v>
      </c>
      <c r="B39" s="64">
        <f>IF($A39="",0,N(Pivots!M11))</f>
        <v>7053989.5</v>
      </c>
      <c r="C39" s="64">
        <f>IF($A39="",0,N(Pivots!N11))</f>
        <v>1383989.5</v>
      </c>
      <c r="E39" s="66">
        <f t="shared" si="0"/>
        <v>7053989.5000390001</v>
      </c>
      <c r="G39" s="67">
        <v>5</v>
      </c>
      <c r="H39" s="67" t="str">
        <f>IF(I39=0,"-",INDEX($A$35:$A$46,J39))</f>
        <v>Air Purifier</v>
      </c>
      <c r="I39" s="68">
        <f>INDEX($B$35:$B$46,J39)</f>
        <v>1537535.5</v>
      </c>
      <c r="J39" s="67">
        <f>MATCH(LARGE($E$35:$E$46,G39),$E$35:$E$46,0)</f>
        <v>1</v>
      </c>
    </row>
    <row r="40" spans="1:10" x14ac:dyDescent="0.3">
      <c r="A40" s="63" t="str">
        <f>IF(OR(Pivots!L12="Grand Total",Pivots!L12="Total Result",Pivots!L12=""),"",Pivots!L12&amp;"")</f>
        <v>Microwave Oven</v>
      </c>
      <c r="B40" s="64">
        <f>IF($A40="",0,N(Pivots!M12))</f>
        <v>1482889.5</v>
      </c>
      <c r="C40" s="64">
        <f>IF($A40="",0,N(Pivots!N12))</f>
        <v>346889.5</v>
      </c>
      <c r="E40" s="66">
        <f t="shared" si="0"/>
        <v>1482889.5000400001</v>
      </c>
    </row>
    <row r="41" spans="1:10" x14ac:dyDescent="0.3">
      <c r="A41" s="63" t="str">
        <f>IF(OR(Pivots!L13="Grand Total",Pivots!L13="Total Result",Pivots!L13=""),"",Pivots!L13&amp;"")</f>
        <v>Notebook Pack</v>
      </c>
      <c r="B41" s="64">
        <f>IF($A41="",0,N(Pivots!M13))</f>
        <v>901982.5</v>
      </c>
      <c r="C41" s="64">
        <f>IF($A41="",0,N(Pivots!N13))</f>
        <v>374982.5</v>
      </c>
      <c r="E41" s="66">
        <f t="shared" si="0"/>
        <v>901982.50004099996</v>
      </c>
    </row>
    <row r="42" spans="1:10" x14ac:dyDescent="0.3">
      <c r="A42" s="63" t="str">
        <f>IF(OR(Pivots!L14="Grand Total",Pivots!L14="Total Result",Pivots!L14=""),"",Pivots!L14&amp;"")</f>
        <v>Office Chair</v>
      </c>
      <c r="B42" s="64">
        <f>IF($A42="",0,N(Pivots!M14))</f>
        <v>2083738</v>
      </c>
      <c r="C42" s="64">
        <f>IF($A42="",0,N(Pivots!N14))</f>
        <v>625738</v>
      </c>
      <c r="E42" s="66">
        <f t="shared" si="0"/>
        <v>2083738.0000420001</v>
      </c>
    </row>
    <row r="43" spans="1:10" x14ac:dyDescent="0.3">
      <c r="A43" s="63" t="str">
        <f>IF(OR(Pivots!L15="Grand Total",Pivots!L15="Total Result",Pivots!L15=""),"",Pivots!L15&amp;"")</f>
        <v>Smartphone</v>
      </c>
      <c r="B43" s="64">
        <f>IF($A43="",0,N(Pivots!M15))</f>
        <v>4855275.5</v>
      </c>
      <c r="C43" s="64">
        <f>IF($A43="",0,N(Pivots!N15))</f>
        <v>1003275.5</v>
      </c>
      <c r="E43" s="66">
        <f t="shared" si="0"/>
        <v>4855275.5000430001</v>
      </c>
    </row>
    <row r="44" spans="1:10" x14ac:dyDescent="0.3">
      <c r="A44" s="63" t="str">
        <f>IF(OR(Pivots!L16="Grand Total",Pivots!L16="Total Result",Pivots!L16=""),"",Pivots!L16&amp;"")</f>
        <v>Standing Desk</v>
      </c>
      <c r="B44" s="64">
        <f>IF($A44="",0,N(Pivots!M16))</f>
        <v>1840267.5</v>
      </c>
      <c r="C44" s="64">
        <f>IF($A44="",0,N(Pivots!N16))</f>
        <v>502767.5</v>
      </c>
      <c r="E44" s="66">
        <f t="shared" si="0"/>
        <v>1840267.5000440001</v>
      </c>
    </row>
    <row r="45" spans="1:10" x14ac:dyDescent="0.3">
      <c r="A45" s="63" t="str">
        <f>IF(OR(Pivots!L17="Grand Total",Pivots!L17="Total Result",Pivots!L17=""),"",Pivots!L17&amp;"")</f>
        <v>Water Purifier</v>
      </c>
      <c r="B45" s="64">
        <f>IF($A45="",0,N(Pivots!M17))</f>
        <v>1295197.5</v>
      </c>
      <c r="C45" s="64">
        <f>IF($A45="",0,N(Pivots!N17))</f>
        <v>404197.5</v>
      </c>
      <c r="E45" s="66">
        <f t="shared" si="0"/>
        <v>1295197.5000450001</v>
      </c>
    </row>
    <row r="46" spans="1:10" x14ac:dyDescent="0.3">
      <c r="A46" s="63" t="str">
        <f>IF(OR(Pivots!L18="Grand Total",Pivots!L18="Total Result",Pivots!L18=""),"",Pivots!L18&amp;"")</f>
        <v>Wireless Earbuds</v>
      </c>
      <c r="B46" s="64">
        <f>IF($A46="",0,N(Pivots!M18))</f>
        <v>897954</v>
      </c>
      <c r="C46" s="64">
        <f>IF($A46="",0,N(Pivots!N18))</f>
        <v>357954</v>
      </c>
      <c r="E46" s="66">
        <f t="shared" si="0"/>
        <v>897954.000046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9D8F"/>
  </sheetPr>
  <dimension ref="A1:O9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3" customWidth="1"/>
    <col min="3" max="3" width="7" customWidth="1"/>
    <col min="4" max="4" width="9" customWidth="1"/>
    <col min="5" max="5" width="10" customWidth="1"/>
    <col min="6" max="6" width="13" customWidth="1"/>
    <col min="7" max="7" width="18" customWidth="1"/>
    <col min="8" max="8" width="16" customWidth="1"/>
    <col min="9" max="9" width="10" customWidth="1"/>
    <col min="10" max="12" width="11" customWidth="1"/>
    <col min="13" max="15" width="13" customWidth="1"/>
  </cols>
  <sheetData>
    <row r="1" spans="1:15" x14ac:dyDescent="0.3">
      <c r="A1" s="69" t="s">
        <v>77</v>
      </c>
      <c r="B1" s="69" t="s">
        <v>78</v>
      </c>
      <c r="C1" s="69" t="s">
        <v>79</v>
      </c>
      <c r="D1" s="69" t="s">
        <v>35</v>
      </c>
      <c r="E1" s="69" t="s">
        <v>19</v>
      </c>
      <c r="F1" s="69" t="s">
        <v>63</v>
      </c>
      <c r="G1" s="69" t="s">
        <v>25</v>
      </c>
      <c r="H1" s="69" t="s">
        <v>80</v>
      </c>
      <c r="I1" s="69" t="s">
        <v>81</v>
      </c>
      <c r="J1" s="69" t="s">
        <v>82</v>
      </c>
      <c r="K1" s="69" t="s">
        <v>83</v>
      </c>
      <c r="L1" s="69" t="s">
        <v>84</v>
      </c>
      <c r="M1" s="69" t="s">
        <v>20</v>
      </c>
      <c r="N1" s="69" t="s">
        <v>85</v>
      </c>
      <c r="O1" s="69" t="s">
        <v>21</v>
      </c>
    </row>
    <row r="2" spans="1:15" x14ac:dyDescent="0.3">
      <c r="A2" s="67" t="s">
        <v>86</v>
      </c>
      <c r="B2" s="70">
        <v>44927</v>
      </c>
      <c r="C2" s="67">
        <f t="shared" ref="C2:C65" si="0">YEAR(B2)</f>
        <v>2023</v>
      </c>
      <c r="D2" s="67" t="str">
        <f t="shared" ref="D2:D65" si="1">CHOOSE(MONTH(B2),"01 Jan","02 Feb","03 Mar","04 Apr","05 May","06 Jun","07 Jul","08 Aug","09 Sep","10 Oct","11 Nov","12 Dec")</f>
        <v>01 Jan</v>
      </c>
      <c r="E2" s="67" t="s">
        <v>45</v>
      </c>
      <c r="F2" s="67" t="s">
        <v>71</v>
      </c>
      <c r="G2" s="67" t="s">
        <v>44</v>
      </c>
      <c r="H2" s="67" t="s">
        <v>87</v>
      </c>
      <c r="I2" s="71">
        <v>8</v>
      </c>
      <c r="J2" s="72">
        <v>690</v>
      </c>
      <c r="K2" s="73">
        <v>0.05</v>
      </c>
      <c r="L2" s="72">
        <v>380</v>
      </c>
      <c r="M2" s="68">
        <f t="shared" ref="M2:M65" si="2">I2*J2*(1-K2)</f>
        <v>5244</v>
      </c>
      <c r="N2" s="68">
        <f t="shared" ref="N2:N65" si="3">I2*L2</f>
        <v>3040</v>
      </c>
      <c r="O2" s="68">
        <f t="shared" ref="O2:O65" si="4">M2-N2</f>
        <v>2204</v>
      </c>
    </row>
    <row r="3" spans="1:15" x14ac:dyDescent="0.3">
      <c r="A3" s="67" t="s">
        <v>88</v>
      </c>
      <c r="B3" s="70">
        <v>44928</v>
      </c>
      <c r="C3" s="67">
        <f t="shared" si="0"/>
        <v>2023</v>
      </c>
      <c r="D3" s="67" t="str">
        <f t="shared" si="1"/>
        <v>01 Jan</v>
      </c>
      <c r="E3" s="67" t="s">
        <v>42</v>
      </c>
      <c r="F3" s="67" t="s">
        <v>71</v>
      </c>
      <c r="G3" s="67" t="s">
        <v>55</v>
      </c>
      <c r="H3" s="67" t="s">
        <v>89</v>
      </c>
      <c r="I3" s="71">
        <v>7</v>
      </c>
      <c r="J3" s="72">
        <v>430</v>
      </c>
      <c r="K3" s="73">
        <v>0.05</v>
      </c>
      <c r="L3" s="72">
        <v>250</v>
      </c>
      <c r="M3" s="68">
        <f t="shared" si="2"/>
        <v>2859.5</v>
      </c>
      <c r="N3" s="68">
        <f t="shared" si="3"/>
        <v>1750</v>
      </c>
      <c r="O3" s="68">
        <f t="shared" si="4"/>
        <v>1109.5</v>
      </c>
    </row>
    <row r="4" spans="1:15" x14ac:dyDescent="0.3">
      <c r="A4" s="67" t="s">
        <v>90</v>
      </c>
      <c r="B4" s="70">
        <v>44929</v>
      </c>
      <c r="C4" s="67">
        <f t="shared" si="0"/>
        <v>2023</v>
      </c>
      <c r="D4" s="67" t="str">
        <f t="shared" si="1"/>
        <v>01 Jan</v>
      </c>
      <c r="E4" s="67" t="s">
        <v>36</v>
      </c>
      <c r="F4" s="67" t="s">
        <v>70</v>
      </c>
      <c r="G4" s="67" t="s">
        <v>58</v>
      </c>
      <c r="H4" s="67" t="s">
        <v>91</v>
      </c>
      <c r="I4" s="71">
        <v>5</v>
      </c>
      <c r="J4" s="72">
        <v>8600</v>
      </c>
      <c r="K4" s="73">
        <v>0</v>
      </c>
      <c r="L4" s="72">
        <v>6000</v>
      </c>
      <c r="M4" s="68">
        <f t="shared" si="2"/>
        <v>43000</v>
      </c>
      <c r="N4" s="68">
        <f t="shared" si="3"/>
        <v>30000</v>
      </c>
      <c r="O4" s="68">
        <f t="shared" si="4"/>
        <v>13000</v>
      </c>
    </row>
    <row r="5" spans="1:15" x14ac:dyDescent="0.3">
      <c r="A5" s="67" t="s">
        <v>92</v>
      </c>
      <c r="B5" s="70">
        <v>44933</v>
      </c>
      <c r="C5" s="67">
        <f t="shared" si="0"/>
        <v>2023</v>
      </c>
      <c r="D5" s="67" t="str">
        <f t="shared" si="1"/>
        <v>01 Jan</v>
      </c>
      <c r="E5" s="67" t="s">
        <v>45</v>
      </c>
      <c r="F5" s="67" t="s">
        <v>70</v>
      </c>
      <c r="G5" s="67" t="s">
        <v>41</v>
      </c>
      <c r="H5" s="67" t="s">
        <v>93</v>
      </c>
      <c r="I5" s="71">
        <v>4</v>
      </c>
      <c r="J5" s="72">
        <v>6810</v>
      </c>
      <c r="K5" s="73">
        <v>0.1</v>
      </c>
      <c r="L5" s="72">
        <v>4200</v>
      </c>
      <c r="M5" s="68">
        <f t="shared" si="2"/>
        <v>24516</v>
      </c>
      <c r="N5" s="68">
        <f t="shared" si="3"/>
        <v>16800</v>
      </c>
      <c r="O5" s="68">
        <f t="shared" si="4"/>
        <v>7716</v>
      </c>
    </row>
    <row r="6" spans="1:15" x14ac:dyDescent="0.3">
      <c r="A6" s="67" t="s">
        <v>94</v>
      </c>
      <c r="B6" s="70">
        <v>44936</v>
      </c>
      <c r="C6" s="67">
        <f t="shared" si="0"/>
        <v>2023</v>
      </c>
      <c r="D6" s="67" t="str">
        <f t="shared" si="1"/>
        <v>01 Jan</v>
      </c>
      <c r="E6" s="67" t="s">
        <v>48</v>
      </c>
      <c r="F6" s="67" t="s">
        <v>71</v>
      </c>
      <c r="G6" s="67" t="s">
        <v>55</v>
      </c>
      <c r="H6" s="67" t="s">
        <v>95</v>
      </c>
      <c r="I6" s="71">
        <v>17</v>
      </c>
      <c r="J6" s="72">
        <v>440</v>
      </c>
      <c r="K6" s="73">
        <v>0.15</v>
      </c>
      <c r="L6" s="72">
        <v>250</v>
      </c>
      <c r="M6" s="68">
        <f t="shared" si="2"/>
        <v>6358</v>
      </c>
      <c r="N6" s="68">
        <f t="shared" si="3"/>
        <v>4250</v>
      </c>
      <c r="O6" s="68">
        <f t="shared" si="4"/>
        <v>2108</v>
      </c>
    </row>
    <row r="7" spans="1:15" x14ac:dyDescent="0.3">
      <c r="A7" s="67" t="s">
        <v>96</v>
      </c>
      <c r="B7" s="70">
        <v>44940</v>
      </c>
      <c r="C7" s="67">
        <f t="shared" si="0"/>
        <v>2023</v>
      </c>
      <c r="D7" s="67" t="str">
        <f t="shared" si="1"/>
        <v>01 Jan</v>
      </c>
      <c r="E7" s="67" t="s">
        <v>42</v>
      </c>
      <c r="F7" s="67" t="s">
        <v>71</v>
      </c>
      <c r="G7" s="67" t="s">
        <v>47</v>
      </c>
      <c r="H7" s="67" t="s">
        <v>89</v>
      </c>
      <c r="I7" s="71">
        <v>29</v>
      </c>
      <c r="J7" s="72">
        <v>290</v>
      </c>
      <c r="K7" s="73">
        <v>0</v>
      </c>
      <c r="L7" s="72">
        <v>160</v>
      </c>
      <c r="M7" s="68">
        <f t="shared" si="2"/>
        <v>8410</v>
      </c>
      <c r="N7" s="68">
        <f t="shared" si="3"/>
        <v>4640</v>
      </c>
      <c r="O7" s="68">
        <f t="shared" si="4"/>
        <v>3770</v>
      </c>
    </row>
    <row r="8" spans="1:15" x14ac:dyDescent="0.3">
      <c r="A8" s="67" t="s">
        <v>97</v>
      </c>
      <c r="B8" s="70">
        <v>44941</v>
      </c>
      <c r="C8" s="67">
        <f t="shared" si="0"/>
        <v>2023</v>
      </c>
      <c r="D8" s="67" t="str">
        <f t="shared" si="1"/>
        <v>01 Jan</v>
      </c>
      <c r="E8" s="67" t="s">
        <v>48</v>
      </c>
      <c r="F8" s="67" t="s">
        <v>71</v>
      </c>
      <c r="G8" s="67" t="s">
        <v>55</v>
      </c>
      <c r="H8" s="67" t="s">
        <v>98</v>
      </c>
      <c r="I8" s="71">
        <v>14</v>
      </c>
      <c r="J8" s="72">
        <v>450</v>
      </c>
      <c r="K8" s="73">
        <v>0.1</v>
      </c>
      <c r="L8" s="72">
        <v>250</v>
      </c>
      <c r="M8" s="68">
        <f t="shared" si="2"/>
        <v>5670</v>
      </c>
      <c r="N8" s="68">
        <f t="shared" si="3"/>
        <v>3500</v>
      </c>
      <c r="O8" s="68">
        <f t="shared" si="4"/>
        <v>2170</v>
      </c>
    </row>
    <row r="9" spans="1:15" x14ac:dyDescent="0.3">
      <c r="A9" s="67" t="s">
        <v>99</v>
      </c>
      <c r="B9" s="70">
        <v>44944</v>
      </c>
      <c r="C9" s="67">
        <f t="shared" si="0"/>
        <v>2023</v>
      </c>
      <c r="D9" s="67" t="str">
        <f t="shared" si="1"/>
        <v>01 Jan</v>
      </c>
      <c r="E9" s="67" t="s">
        <v>39</v>
      </c>
      <c r="F9" s="67" t="s">
        <v>69</v>
      </c>
      <c r="G9" s="67" t="s">
        <v>50</v>
      </c>
      <c r="H9" s="67" t="s">
        <v>100</v>
      </c>
      <c r="I9" s="71">
        <v>1</v>
      </c>
      <c r="J9" s="72">
        <v>53710</v>
      </c>
      <c r="K9" s="73">
        <v>0</v>
      </c>
      <c r="L9" s="72">
        <v>42000</v>
      </c>
      <c r="M9" s="68">
        <f t="shared" si="2"/>
        <v>53710</v>
      </c>
      <c r="N9" s="68">
        <f t="shared" si="3"/>
        <v>42000</v>
      </c>
      <c r="O9" s="68">
        <f t="shared" si="4"/>
        <v>11710</v>
      </c>
    </row>
    <row r="10" spans="1:15" x14ac:dyDescent="0.3">
      <c r="A10" s="67" t="s">
        <v>101</v>
      </c>
      <c r="B10" s="70">
        <v>44944</v>
      </c>
      <c r="C10" s="67">
        <f t="shared" si="0"/>
        <v>2023</v>
      </c>
      <c r="D10" s="67" t="str">
        <f t="shared" si="1"/>
        <v>01 Jan</v>
      </c>
      <c r="E10" s="67" t="s">
        <v>42</v>
      </c>
      <c r="F10" s="67" t="s">
        <v>69</v>
      </c>
      <c r="G10" s="67" t="s">
        <v>60</v>
      </c>
      <c r="H10" s="67" t="s">
        <v>89</v>
      </c>
      <c r="I10" s="71">
        <v>1</v>
      </c>
      <c r="J10" s="72">
        <v>22830</v>
      </c>
      <c r="K10" s="73">
        <v>0.05</v>
      </c>
      <c r="L10" s="72">
        <v>18000</v>
      </c>
      <c r="M10" s="68">
        <f t="shared" si="2"/>
        <v>21688.5</v>
      </c>
      <c r="N10" s="68">
        <f t="shared" si="3"/>
        <v>18000</v>
      </c>
      <c r="O10" s="68">
        <f t="shared" si="4"/>
        <v>3688.5</v>
      </c>
    </row>
    <row r="11" spans="1:15" x14ac:dyDescent="0.3">
      <c r="A11" s="67" t="s">
        <v>102</v>
      </c>
      <c r="B11" s="70">
        <v>44945</v>
      </c>
      <c r="C11" s="67">
        <f t="shared" si="0"/>
        <v>2023</v>
      </c>
      <c r="D11" s="67" t="str">
        <f t="shared" si="1"/>
        <v>01 Jan</v>
      </c>
      <c r="E11" s="67" t="s">
        <v>48</v>
      </c>
      <c r="F11" s="67" t="s">
        <v>70</v>
      </c>
      <c r="G11" s="67" t="s">
        <v>58</v>
      </c>
      <c r="H11" s="67" t="s">
        <v>95</v>
      </c>
      <c r="I11" s="71">
        <v>4</v>
      </c>
      <c r="J11" s="72">
        <v>8650</v>
      </c>
      <c r="K11" s="73">
        <v>0.05</v>
      </c>
      <c r="L11" s="72">
        <v>6000</v>
      </c>
      <c r="M11" s="68">
        <f t="shared" si="2"/>
        <v>32870</v>
      </c>
      <c r="N11" s="68">
        <f t="shared" si="3"/>
        <v>24000</v>
      </c>
      <c r="O11" s="68">
        <f t="shared" si="4"/>
        <v>8870</v>
      </c>
    </row>
    <row r="12" spans="1:15" x14ac:dyDescent="0.3">
      <c r="A12" s="67" t="s">
        <v>103</v>
      </c>
      <c r="B12" s="70">
        <v>44947</v>
      </c>
      <c r="C12" s="67">
        <f t="shared" si="0"/>
        <v>2023</v>
      </c>
      <c r="D12" s="67" t="str">
        <f t="shared" si="1"/>
        <v>01 Jan</v>
      </c>
      <c r="E12" s="67" t="s">
        <v>42</v>
      </c>
      <c r="F12" s="67" t="s">
        <v>66</v>
      </c>
      <c r="G12" s="67" t="s">
        <v>53</v>
      </c>
      <c r="H12" s="67" t="s">
        <v>89</v>
      </c>
      <c r="I12" s="71">
        <v>2</v>
      </c>
      <c r="J12" s="72">
        <v>11380</v>
      </c>
      <c r="K12" s="73">
        <v>0.1</v>
      </c>
      <c r="L12" s="72">
        <v>8000</v>
      </c>
      <c r="M12" s="68">
        <f t="shared" si="2"/>
        <v>20484</v>
      </c>
      <c r="N12" s="68">
        <f t="shared" si="3"/>
        <v>16000</v>
      </c>
      <c r="O12" s="68">
        <f t="shared" si="4"/>
        <v>4484</v>
      </c>
    </row>
    <row r="13" spans="1:15" x14ac:dyDescent="0.3">
      <c r="A13" s="67" t="s">
        <v>104</v>
      </c>
      <c r="B13" s="70">
        <v>44950</v>
      </c>
      <c r="C13" s="67">
        <f t="shared" si="0"/>
        <v>2023</v>
      </c>
      <c r="D13" s="67" t="str">
        <f t="shared" si="1"/>
        <v>01 Jan</v>
      </c>
      <c r="E13" s="67" t="s">
        <v>48</v>
      </c>
      <c r="F13" s="67" t="s">
        <v>70</v>
      </c>
      <c r="G13" s="67" t="s">
        <v>62</v>
      </c>
      <c r="H13" s="67" t="s">
        <v>95</v>
      </c>
      <c r="I13" s="71">
        <v>1</v>
      </c>
      <c r="J13" s="72">
        <v>18400</v>
      </c>
      <c r="K13" s="73">
        <v>0.05</v>
      </c>
      <c r="L13" s="72">
        <v>12500</v>
      </c>
      <c r="M13" s="68">
        <f t="shared" si="2"/>
        <v>17480</v>
      </c>
      <c r="N13" s="68">
        <f t="shared" si="3"/>
        <v>12500</v>
      </c>
      <c r="O13" s="68">
        <f t="shared" si="4"/>
        <v>4980</v>
      </c>
    </row>
    <row r="14" spans="1:15" x14ac:dyDescent="0.3">
      <c r="A14" s="67" t="s">
        <v>105</v>
      </c>
      <c r="B14" s="70">
        <v>44953</v>
      </c>
      <c r="C14" s="67">
        <f t="shared" si="0"/>
        <v>2023</v>
      </c>
      <c r="D14" s="67" t="str">
        <f t="shared" si="1"/>
        <v>01 Jan</v>
      </c>
      <c r="E14" s="67" t="s">
        <v>45</v>
      </c>
      <c r="F14" s="67" t="s">
        <v>70</v>
      </c>
      <c r="G14" s="67" t="s">
        <v>62</v>
      </c>
      <c r="H14" s="67" t="s">
        <v>87</v>
      </c>
      <c r="I14" s="71">
        <v>3</v>
      </c>
      <c r="J14" s="72">
        <v>17860</v>
      </c>
      <c r="K14" s="73">
        <v>0.05</v>
      </c>
      <c r="L14" s="72">
        <v>12500</v>
      </c>
      <c r="M14" s="68">
        <f t="shared" si="2"/>
        <v>50901</v>
      </c>
      <c r="N14" s="68">
        <f t="shared" si="3"/>
        <v>37500</v>
      </c>
      <c r="O14" s="68">
        <f t="shared" si="4"/>
        <v>13401</v>
      </c>
    </row>
    <row r="15" spans="1:15" x14ac:dyDescent="0.3">
      <c r="A15" s="67" t="s">
        <v>106</v>
      </c>
      <c r="B15" s="70">
        <v>44953</v>
      </c>
      <c r="C15" s="67">
        <f t="shared" si="0"/>
        <v>2023</v>
      </c>
      <c r="D15" s="67" t="str">
        <f t="shared" si="1"/>
        <v>01 Jan</v>
      </c>
      <c r="E15" s="67" t="s">
        <v>39</v>
      </c>
      <c r="F15" s="67" t="s">
        <v>70</v>
      </c>
      <c r="G15" s="67" t="s">
        <v>41</v>
      </c>
      <c r="H15" s="67" t="s">
        <v>107</v>
      </c>
      <c r="I15" s="71">
        <v>4</v>
      </c>
      <c r="J15" s="72">
        <v>6340</v>
      </c>
      <c r="K15" s="73">
        <v>0</v>
      </c>
      <c r="L15" s="72">
        <v>4200</v>
      </c>
      <c r="M15" s="68">
        <f t="shared" si="2"/>
        <v>25360</v>
      </c>
      <c r="N15" s="68">
        <f t="shared" si="3"/>
        <v>16800</v>
      </c>
      <c r="O15" s="68">
        <f t="shared" si="4"/>
        <v>8560</v>
      </c>
    </row>
    <row r="16" spans="1:15" x14ac:dyDescent="0.3">
      <c r="A16" s="67" t="s">
        <v>108</v>
      </c>
      <c r="B16" s="70">
        <v>44954</v>
      </c>
      <c r="C16" s="67">
        <f t="shared" si="0"/>
        <v>2023</v>
      </c>
      <c r="D16" s="67" t="str">
        <f t="shared" si="1"/>
        <v>01 Jan</v>
      </c>
      <c r="E16" s="67" t="s">
        <v>48</v>
      </c>
      <c r="F16" s="67" t="s">
        <v>71</v>
      </c>
      <c r="G16" s="67" t="s">
        <v>44</v>
      </c>
      <c r="H16" s="67" t="s">
        <v>95</v>
      </c>
      <c r="I16" s="71">
        <v>11</v>
      </c>
      <c r="J16" s="72">
        <v>680</v>
      </c>
      <c r="K16" s="73">
        <v>0</v>
      </c>
      <c r="L16" s="72">
        <v>380</v>
      </c>
      <c r="M16" s="68">
        <f t="shared" si="2"/>
        <v>7480</v>
      </c>
      <c r="N16" s="68">
        <f t="shared" si="3"/>
        <v>4180</v>
      </c>
      <c r="O16" s="68">
        <f t="shared" si="4"/>
        <v>3300</v>
      </c>
    </row>
    <row r="17" spans="1:15" x14ac:dyDescent="0.3">
      <c r="A17" s="67" t="s">
        <v>109</v>
      </c>
      <c r="B17" s="70">
        <v>44958</v>
      </c>
      <c r="C17" s="67">
        <f t="shared" si="0"/>
        <v>2023</v>
      </c>
      <c r="D17" s="67" t="str">
        <f t="shared" si="1"/>
        <v>02 Feb</v>
      </c>
      <c r="E17" s="67" t="s">
        <v>45</v>
      </c>
      <c r="F17" s="67" t="s">
        <v>71</v>
      </c>
      <c r="G17" s="67" t="s">
        <v>47</v>
      </c>
      <c r="H17" s="67" t="s">
        <v>93</v>
      </c>
      <c r="I17" s="71">
        <v>8</v>
      </c>
      <c r="J17" s="72">
        <v>300</v>
      </c>
      <c r="K17" s="73">
        <v>0.1</v>
      </c>
      <c r="L17" s="72">
        <v>160</v>
      </c>
      <c r="M17" s="68">
        <f t="shared" si="2"/>
        <v>2160</v>
      </c>
      <c r="N17" s="68">
        <f t="shared" si="3"/>
        <v>1280</v>
      </c>
      <c r="O17" s="68">
        <f t="shared" si="4"/>
        <v>880</v>
      </c>
    </row>
    <row r="18" spans="1:15" x14ac:dyDescent="0.3">
      <c r="A18" s="67" t="s">
        <v>110</v>
      </c>
      <c r="B18" s="70">
        <v>44959</v>
      </c>
      <c r="C18" s="67">
        <f t="shared" si="0"/>
        <v>2023</v>
      </c>
      <c r="D18" s="67" t="str">
        <f t="shared" si="1"/>
        <v>02 Feb</v>
      </c>
      <c r="E18" s="67" t="s">
        <v>45</v>
      </c>
      <c r="F18" s="67" t="s">
        <v>71</v>
      </c>
      <c r="G18" s="67" t="s">
        <v>44</v>
      </c>
      <c r="H18" s="67" t="s">
        <v>87</v>
      </c>
      <c r="I18" s="71">
        <v>5</v>
      </c>
      <c r="J18" s="72">
        <v>730</v>
      </c>
      <c r="K18" s="73">
        <v>0</v>
      </c>
      <c r="L18" s="72">
        <v>380</v>
      </c>
      <c r="M18" s="68">
        <f t="shared" si="2"/>
        <v>3650</v>
      </c>
      <c r="N18" s="68">
        <f t="shared" si="3"/>
        <v>1900</v>
      </c>
      <c r="O18" s="68">
        <f t="shared" si="4"/>
        <v>1750</v>
      </c>
    </row>
    <row r="19" spans="1:15" x14ac:dyDescent="0.3">
      <c r="A19" s="67" t="s">
        <v>111</v>
      </c>
      <c r="B19" s="70">
        <v>44959</v>
      </c>
      <c r="C19" s="67">
        <f t="shared" si="0"/>
        <v>2023</v>
      </c>
      <c r="D19" s="67" t="str">
        <f t="shared" si="1"/>
        <v>02 Feb</v>
      </c>
      <c r="E19" s="67" t="s">
        <v>42</v>
      </c>
      <c r="F19" s="67" t="s">
        <v>70</v>
      </c>
      <c r="G19" s="67" t="s">
        <v>41</v>
      </c>
      <c r="H19" s="67" t="s">
        <v>112</v>
      </c>
      <c r="I19" s="71">
        <v>4</v>
      </c>
      <c r="J19" s="72">
        <v>6790</v>
      </c>
      <c r="K19" s="73">
        <v>0</v>
      </c>
      <c r="L19" s="72">
        <v>4200</v>
      </c>
      <c r="M19" s="68">
        <f t="shared" si="2"/>
        <v>27160</v>
      </c>
      <c r="N19" s="68">
        <f t="shared" si="3"/>
        <v>16800</v>
      </c>
      <c r="O19" s="68">
        <f t="shared" si="4"/>
        <v>10360</v>
      </c>
    </row>
    <row r="20" spans="1:15" x14ac:dyDescent="0.3">
      <c r="A20" s="67" t="s">
        <v>113</v>
      </c>
      <c r="B20" s="70">
        <v>44960</v>
      </c>
      <c r="C20" s="67">
        <f t="shared" si="0"/>
        <v>2023</v>
      </c>
      <c r="D20" s="67" t="str">
        <f t="shared" si="1"/>
        <v>02 Feb</v>
      </c>
      <c r="E20" s="67" t="s">
        <v>36</v>
      </c>
      <c r="F20" s="67" t="s">
        <v>71</v>
      </c>
      <c r="G20" s="67" t="s">
        <v>47</v>
      </c>
      <c r="H20" s="67" t="s">
        <v>114</v>
      </c>
      <c r="I20" s="71">
        <v>18</v>
      </c>
      <c r="J20" s="72">
        <v>290</v>
      </c>
      <c r="K20" s="73">
        <v>0.1</v>
      </c>
      <c r="L20" s="72">
        <v>160</v>
      </c>
      <c r="M20" s="68">
        <f t="shared" si="2"/>
        <v>4698</v>
      </c>
      <c r="N20" s="68">
        <f t="shared" si="3"/>
        <v>2880</v>
      </c>
      <c r="O20" s="68">
        <f t="shared" si="4"/>
        <v>1818</v>
      </c>
    </row>
    <row r="21" spans="1:15" x14ac:dyDescent="0.3">
      <c r="A21" s="67" t="s">
        <v>115</v>
      </c>
      <c r="B21" s="70">
        <v>44961</v>
      </c>
      <c r="C21" s="67">
        <f t="shared" si="0"/>
        <v>2023</v>
      </c>
      <c r="D21" s="67" t="str">
        <f t="shared" si="1"/>
        <v>02 Feb</v>
      </c>
      <c r="E21" s="67" t="s">
        <v>48</v>
      </c>
      <c r="F21" s="67" t="s">
        <v>71</v>
      </c>
      <c r="G21" s="67" t="s">
        <v>47</v>
      </c>
      <c r="H21" s="67" t="s">
        <v>98</v>
      </c>
      <c r="I21" s="71">
        <v>38</v>
      </c>
      <c r="J21" s="72">
        <v>290</v>
      </c>
      <c r="K21" s="73">
        <v>0.05</v>
      </c>
      <c r="L21" s="72">
        <v>160</v>
      </c>
      <c r="M21" s="68">
        <f t="shared" si="2"/>
        <v>10469</v>
      </c>
      <c r="N21" s="68">
        <f t="shared" si="3"/>
        <v>6080</v>
      </c>
      <c r="O21" s="68">
        <f t="shared" si="4"/>
        <v>4389</v>
      </c>
    </row>
    <row r="22" spans="1:15" x14ac:dyDescent="0.3">
      <c r="A22" s="67" t="s">
        <v>116</v>
      </c>
      <c r="B22" s="70">
        <v>44961</v>
      </c>
      <c r="C22" s="67">
        <f t="shared" si="0"/>
        <v>2023</v>
      </c>
      <c r="D22" s="67" t="str">
        <f t="shared" si="1"/>
        <v>02 Feb</v>
      </c>
      <c r="E22" s="67" t="s">
        <v>48</v>
      </c>
      <c r="F22" s="67" t="s">
        <v>71</v>
      </c>
      <c r="G22" s="67" t="s">
        <v>47</v>
      </c>
      <c r="H22" s="67" t="s">
        <v>95</v>
      </c>
      <c r="I22" s="71">
        <v>26</v>
      </c>
      <c r="J22" s="72">
        <v>300</v>
      </c>
      <c r="K22" s="73">
        <v>0</v>
      </c>
      <c r="L22" s="72">
        <v>160</v>
      </c>
      <c r="M22" s="68">
        <f t="shared" si="2"/>
        <v>7800</v>
      </c>
      <c r="N22" s="68">
        <f t="shared" si="3"/>
        <v>4160</v>
      </c>
      <c r="O22" s="68">
        <f t="shared" si="4"/>
        <v>3640</v>
      </c>
    </row>
    <row r="23" spans="1:15" x14ac:dyDescent="0.3">
      <c r="A23" s="67" t="s">
        <v>117</v>
      </c>
      <c r="B23" s="70">
        <v>44963</v>
      </c>
      <c r="C23" s="67">
        <f t="shared" si="0"/>
        <v>2023</v>
      </c>
      <c r="D23" s="67" t="str">
        <f t="shared" si="1"/>
        <v>02 Feb</v>
      </c>
      <c r="E23" s="67" t="s">
        <v>42</v>
      </c>
      <c r="F23" s="67" t="s">
        <v>69</v>
      </c>
      <c r="G23" s="67" t="s">
        <v>60</v>
      </c>
      <c r="H23" s="67" t="s">
        <v>89</v>
      </c>
      <c r="I23" s="71">
        <v>2</v>
      </c>
      <c r="J23" s="72">
        <v>25150</v>
      </c>
      <c r="K23" s="73">
        <v>0.1</v>
      </c>
      <c r="L23" s="72">
        <v>18000</v>
      </c>
      <c r="M23" s="68">
        <f t="shared" si="2"/>
        <v>45270</v>
      </c>
      <c r="N23" s="68">
        <f t="shared" si="3"/>
        <v>36000</v>
      </c>
      <c r="O23" s="68">
        <f t="shared" si="4"/>
        <v>9270</v>
      </c>
    </row>
    <row r="24" spans="1:15" x14ac:dyDescent="0.3">
      <c r="A24" s="67" t="s">
        <v>118</v>
      </c>
      <c r="B24" s="70">
        <v>44965</v>
      </c>
      <c r="C24" s="67">
        <f t="shared" si="0"/>
        <v>2023</v>
      </c>
      <c r="D24" s="67" t="str">
        <f t="shared" si="1"/>
        <v>02 Feb</v>
      </c>
      <c r="E24" s="67" t="s">
        <v>36</v>
      </c>
      <c r="F24" s="67" t="s">
        <v>66</v>
      </c>
      <c r="G24" s="67" t="s">
        <v>38</v>
      </c>
      <c r="H24" s="67" t="s">
        <v>114</v>
      </c>
      <c r="I24" s="71">
        <v>3</v>
      </c>
      <c r="J24" s="72">
        <v>14480</v>
      </c>
      <c r="K24" s="73">
        <v>0.1</v>
      </c>
      <c r="L24" s="72">
        <v>9500</v>
      </c>
      <c r="M24" s="68">
        <f t="shared" si="2"/>
        <v>39096</v>
      </c>
      <c r="N24" s="68">
        <f t="shared" si="3"/>
        <v>28500</v>
      </c>
      <c r="O24" s="68">
        <f t="shared" si="4"/>
        <v>10596</v>
      </c>
    </row>
    <row r="25" spans="1:15" x14ac:dyDescent="0.3">
      <c r="A25" s="67" t="s">
        <v>119</v>
      </c>
      <c r="B25" s="70">
        <v>44968</v>
      </c>
      <c r="C25" s="67">
        <f t="shared" si="0"/>
        <v>2023</v>
      </c>
      <c r="D25" s="67" t="str">
        <f t="shared" si="1"/>
        <v>02 Feb</v>
      </c>
      <c r="E25" s="67" t="s">
        <v>39</v>
      </c>
      <c r="F25" s="67" t="s">
        <v>70</v>
      </c>
      <c r="G25" s="67" t="s">
        <v>62</v>
      </c>
      <c r="H25" s="67" t="s">
        <v>107</v>
      </c>
      <c r="I25" s="71">
        <v>3</v>
      </c>
      <c r="J25" s="72">
        <v>17460</v>
      </c>
      <c r="K25" s="73">
        <v>0</v>
      </c>
      <c r="L25" s="72">
        <v>12500</v>
      </c>
      <c r="M25" s="68">
        <f t="shared" si="2"/>
        <v>52380</v>
      </c>
      <c r="N25" s="68">
        <f t="shared" si="3"/>
        <v>37500</v>
      </c>
      <c r="O25" s="68">
        <f t="shared" si="4"/>
        <v>14880</v>
      </c>
    </row>
    <row r="26" spans="1:15" x14ac:dyDescent="0.3">
      <c r="A26" s="67" t="s">
        <v>120</v>
      </c>
      <c r="B26" s="70">
        <v>44970</v>
      </c>
      <c r="C26" s="67">
        <f t="shared" si="0"/>
        <v>2023</v>
      </c>
      <c r="D26" s="67" t="str">
        <f t="shared" si="1"/>
        <v>02 Feb</v>
      </c>
      <c r="E26" s="67" t="s">
        <v>48</v>
      </c>
      <c r="F26" s="67" t="s">
        <v>69</v>
      </c>
      <c r="G26" s="67" t="s">
        <v>68</v>
      </c>
      <c r="H26" s="67" t="s">
        <v>98</v>
      </c>
      <c r="I26" s="71">
        <v>6</v>
      </c>
      <c r="J26" s="72">
        <v>3380</v>
      </c>
      <c r="K26" s="73">
        <v>0.1</v>
      </c>
      <c r="L26" s="72">
        <v>2000</v>
      </c>
      <c r="M26" s="68">
        <f t="shared" si="2"/>
        <v>18252</v>
      </c>
      <c r="N26" s="68">
        <f t="shared" si="3"/>
        <v>12000</v>
      </c>
      <c r="O26" s="68">
        <f t="shared" si="4"/>
        <v>6252</v>
      </c>
    </row>
    <row r="27" spans="1:15" x14ac:dyDescent="0.3">
      <c r="A27" s="67" t="s">
        <v>121</v>
      </c>
      <c r="B27" s="70">
        <v>44971</v>
      </c>
      <c r="C27" s="67">
        <f t="shared" si="0"/>
        <v>2023</v>
      </c>
      <c r="D27" s="67" t="str">
        <f t="shared" si="1"/>
        <v>02 Feb</v>
      </c>
      <c r="E27" s="67" t="s">
        <v>45</v>
      </c>
      <c r="F27" s="67" t="s">
        <v>66</v>
      </c>
      <c r="G27" s="67" t="s">
        <v>65</v>
      </c>
      <c r="H27" s="67" t="s">
        <v>93</v>
      </c>
      <c r="I27" s="71">
        <v>1</v>
      </c>
      <c r="J27" s="72">
        <v>13680</v>
      </c>
      <c r="K27" s="73">
        <v>0</v>
      </c>
      <c r="L27" s="72">
        <v>9000</v>
      </c>
      <c r="M27" s="68">
        <f t="shared" si="2"/>
        <v>13680</v>
      </c>
      <c r="N27" s="68">
        <f t="shared" si="3"/>
        <v>9000</v>
      </c>
      <c r="O27" s="68">
        <f t="shared" si="4"/>
        <v>4680</v>
      </c>
    </row>
    <row r="28" spans="1:15" x14ac:dyDescent="0.3">
      <c r="A28" s="67" t="s">
        <v>122</v>
      </c>
      <c r="B28" s="70">
        <v>44972</v>
      </c>
      <c r="C28" s="67">
        <f t="shared" si="0"/>
        <v>2023</v>
      </c>
      <c r="D28" s="67" t="str">
        <f t="shared" si="1"/>
        <v>02 Feb</v>
      </c>
      <c r="E28" s="67" t="s">
        <v>36</v>
      </c>
      <c r="F28" s="67" t="s">
        <v>66</v>
      </c>
      <c r="G28" s="67" t="s">
        <v>53</v>
      </c>
      <c r="H28" s="67" t="s">
        <v>114</v>
      </c>
      <c r="I28" s="71">
        <v>3</v>
      </c>
      <c r="J28" s="72">
        <v>10530</v>
      </c>
      <c r="K28" s="73">
        <v>0</v>
      </c>
      <c r="L28" s="72">
        <v>8000</v>
      </c>
      <c r="M28" s="68">
        <f t="shared" si="2"/>
        <v>31590</v>
      </c>
      <c r="N28" s="68">
        <f t="shared" si="3"/>
        <v>24000</v>
      </c>
      <c r="O28" s="68">
        <f t="shared" si="4"/>
        <v>7590</v>
      </c>
    </row>
    <row r="29" spans="1:15" x14ac:dyDescent="0.3">
      <c r="A29" s="67" t="s">
        <v>123</v>
      </c>
      <c r="B29" s="70">
        <v>44973</v>
      </c>
      <c r="C29" s="67">
        <f t="shared" si="0"/>
        <v>2023</v>
      </c>
      <c r="D29" s="67" t="str">
        <f t="shared" si="1"/>
        <v>02 Feb</v>
      </c>
      <c r="E29" s="67" t="s">
        <v>45</v>
      </c>
      <c r="F29" s="67" t="s">
        <v>69</v>
      </c>
      <c r="G29" s="67" t="s">
        <v>50</v>
      </c>
      <c r="H29" s="67" t="s">
        <v>87</v>
      </c>
      <c r="I29" s="71">
        <v>2</v>
      </c>
      <c r="J29" s="72">
        <v>55860</v>
      </c>
      <c r="K29" s="73">
        <v>0</v>
      </c>
      <c r="L29" s="72">
        <v>42000</v>
      </c>
      <c r="M29" s="68">
        <f t="shared" si="2"/>
        <v>111720</v>
      </c>
      <c r="N29" s="68">
        <f t="shared" si="3"/>
        <v>84000</v>
      </c>
      <c r="O29" s="68">
        <f t="shared" si="4"/>
        <v>27720</v>
      </c>
    </row>
    <row r="30" spans="1:15" x14ac:dyDescent="0.3">
      <c r="A30" s="67" t="s">
        <v>124</v>
      </c>
      <c r="B30" s="70">
        <v>44975</v>
      </c>
      <c r="C30" s="67">
        <f t="shared" si="0"/>
        <v>2023</v>
      </c>
      <c r="D30" s="67" t="str">
        <f t="shared" si="1"/>
        <v>02 Feb</v>
      </c>
      <c r="E30" s="67" t="s">
        <v>39</v>
      </c>
      <c r="F30" s="67" t="s">
        <v>66</v>
      </c>
      <c r="G30" s="67" t="s">
        <v>53</v>
      </c>
      <c r="H30" s="67" t="s">
        <v>107</v>
      </c>
      <c r="I30" s="71">
        <v>3</v>
      </c>
      <c r="J30" s="72">
        <v>10840</v>
      </c>
      <c r="K30" s="73">
        <v>0.05</v>
      </c>
      <c r="L30" s="72">
        <v>8000</v>
      </c>
      <c r="M30" s="68">
        <f t="shared" si="2"/>
        <v>30894</v>
      </c>
      <c r="N30" s="68">
        <f t="shared" si="3"/>
        <v>24000</v>
      </c>
      <c r="O30" s="68">
        <f t="shared" si="4"/>
        <v>6894</v>
      </c>
    </row>
    <row r="31" spans="1:15" x14ac:dyDescent="0.3">
      <c r="A31" s="67" t="s">
        <v>125</v>
      </c>
      <c r="B31" s="70">
        <v>44975</v>
      </c>
      <c r="C31" s="67">
        <f t="shared" si="0"/>
        <v>2023</v>
      </c>
      <c r="D31" s="67" t="str">
        <f t="shared" si="1"/>
        <v>02 Feb</v>
      </c>
      <c r="E31" s="67" t="s">
        <v>42</v>
      </c>
      <c r="F31" s="67" t="s">
        <v>66</v>
      </c>
      <c r="G31" s="67" t="s">
        <v>53</v>
      </c>
      <c r="H31" s="67" t="s">
        <v>89</v>
      </c>
      <c r="I31" s="71">
        <v>2</v>
      </c>
      <c r="J31" s="72">
        <v>10950</v>
      </c>
      <c r="K31" s="73">
        <v>0.15</v>
      </c>
      <c r="L31" s="72">
        <v>8000</v>
      </c>
      <c r="M31" s="68">
        <f t="shared" si="2"/>
        <v>18615</v>
      </c>
      <c r="N31" s="68">
        <f t="shared" si="3"/>
        <v>16000</v>
      </c>
      <c r="O31" s="68">
        <f t="shared" si="4"/>
        <v>2615</v>
      </c>
    </row>
    <row r="32" spans="1:15" x14ac:dyDescent="0.3">
      <c r="A32" s="67" t="s">
        <v>126</v>
      </c>
      <c r="B32" s="70">
        <v>44976</v>
      </c>
      <c r="C32" s="67">
        <f t="shared" si="0"/>
        <v>2023</v>
      </c>
      <c r="D32" s="67" t="str">
        <f t="shared" si="1"/>
        <v>02 Feb</v>
      </c>
      <c r="E32" s="67" t="s">
        <v>39</v>
      </c>
      <c r="F32" s="67" t="s">
        <v>70</v>
      </c>
      <c r="G32" s="67" t="s">
        <v>41</v>
      </c>
      <c r="H32" s="67" t="s">
        <v>100</v>
      </c>
      <c r="I32" s="71">
        <v>1</v>
      </c>
      <c r="J32" s="72">
        <v>6580</v>
      </c>
      <c r="K32" s="73">
        <v>0.05</v>
      </c>
      <c r="L32" s="72">
        <v>4200</v>
      </c>
      <c r="M32" s="68">
        <f t="shared" si="2"/>
        <v>6251</v>
      </c>
      <c r="N32" s="68">
        <f t="shared" si="3"/>
        <v>4200</v>
      </c>
      <c r="O32" s="68">
        <f t="shared" si="4"/>
        <v>2051</v>
      </c>
    </row>
    <row r="33" spans="1:15" x14ac:dyDescent="0.3">
      <c r="A33" s="67" t="s">
        <v>127</v>
      </c>
      <c r="B33" s="70">
        <v>44976</v>
      </c>
      <c r="C33" s="67">
        <f t="shared" si="0"/>
        <v>2023</v>
      </c>
      <c r="D33" s="67" t="str">
        <f t="shared" si="1"/>
        <v>02 Feb</v>
      </c>
      <c r="E33" s="67" t="s">
        <v>36</v>
      </c>
      <c r="F33" s="67" t="s">
        <v>71</v>
      </c>
      <c r="G33" s="67" t="s">
        <v>55</v>
      </c>
      <c r="H33" s="67" t="s">
        <v>91</v>
      </c>
      <c r="I33" s="71">
        <v>5</v>
      </c>
      <c r="J33" s="72">
        <v>460</v>
      </c>
      <c r="K33" s="73">
        <v>0</v>
      </c>
      <c r="L33" s="72">
        <v>250</v>
      </c>
      <c r="M33" s="68">
        <f t="shared" si="2"/>
        <v>2300</v>
      </c>
      <c r="N33" s="68">
        <f t="shared" si="3"/>
        <v>1250</v>
      </c>
      <c r="O33" s="68">
        <f t="shared" si="4"/>
        <v>1050</v>
      </c>
    </row>
    <row r="34" spans="1:15" x14ac:dyDescent="0.3">
      <c r="A34" s="67" t="s">
        <v>128</v>
      </c>
      <c r="B34" s="70">
        <v>44978</v>
      </c>
      <c r="C34" s="67">
        <f t="shared" si="0"/>
        <v>2023</v>
      </c>
      <c r="D34" s="67" t="str">
        <f t="shared" si="1"/>
        <v>02 Feb</v>
      </c>
      <c r="E34" s="67" t="s">
        <v>45</v>
      </c>
      <c r="F34" s="67" t="s">
        <v>71</v>
      </c>
      <c r="G34" s="67" t="s">
        <v>55</v>
      </c>
      <c r="H34" s="67" t="s">
        <v>93</v>
      </c>
      <c r="I34" s="71">
        <v>26</v>
      </c>
      <c r="J34" s="72">
        <v>460</v>
      </c>
      <c r="K34" s="73">
        <v>0</v>
      </c>
      <c r="L34" s="72">
        <v>250</v>
      </c>
      <c r="M34" s="68">
        <f t="shared" si="2"/>
        <v>11960</v>
      </c>
      <c r="N34" s="68">
        <f t="shared" si="3"/>
        <v>6500</v>
      </c>
      <c r="O34" s="68">
        <f t="shared" si="4"/>
        <v>5460</v>
      </c>
    </row>
    <row r="35" spans="1:15" x14ac:dyDescent="0.3">
      <c r="A35" s="67" t="s">
        <v>129</v>
      </c>
      <c r="B35" s="70">
        <v>44978</v>
      </c>
      <c r="C35" s="67">
        <f t="shared" si="0"/>
        <v>2023</v>
      </c>
      <c r="D35" s="67" t="str">
        <f t="shared" si="1"/>
        <v>02 Feb</v>
      </c>
      <c r="E35" s="67" t="s">
        <v>42</v>
      </c>
      <c r="F35" s="67" t="s">
        <v>66</v>
      </c>
      <c r="G35" s="67" t="s">
        <v>53</v>
      </c>
      <c r="H35" s="67" t="s">
        <v>112</v>
      </c>
      <c r="I35" s="71">
        <v>3</v>
      </c>
      <c r="J35" s="72">
        <v>11080</v>
      </c>
      <c r="K35" s="73">
        <v>0.05</v>
      </c>
      <c r="L35" s="72">
        <v>8000</v>
      </c>
      <c r="M35" s="68">
        <f t="shared" si="2"/>
        <v>31578</v>
      </c>
      <c r="N35" s="68">
        <f t="shared" si="3"/>
        <v>24000</v>
      </c>
      <c r="O35" s="68">
        <f t="shared" si="4"/>
        <v>7578</v>
      </c>
    </row>
    <row r="36" spans="1:15" x14ac:dyDescent="0.3">
      <c r="A36" s="67" t="s">
        <v>130</v>
      </c>
      <c r="B36" s="70">
        <v>44979</v>
      </c>
      <c r="C36" s="67">
        <f t="shared" si="0"/>
        <v>2023</v>
      </c>
      <c r="D36" s="67" t="str">
        <f t="shared" si="1"/>
        <v>02 Feb</v>
      </c>
      <c r="E36" s="67" t="s">
        <v>45</v>
      </c>
      <c r="F36" s="67" t="s">
        <v>69</v>
      </c>
      <c r="G36" s="67" t="s">
        <v>68</v>
      </c>
      <c r="H36" s="67" t="s">
        <v>93</v>
      </c>
      <c r="I36" s="71">
        <v>1</v>
      </c>
      <c r="J36" s="72">
        <v>3530</v>
      </c>
      <c r="K36" s="73">
        <v>0</v>
      </c>
      <c r="L36" s="72">
        <v>2000</v>
      </c>
      <c r="M36" s="68">
        <f t="shared" si="2"/>
        <v>3530</v>
      </c>
      <c r="N36" s="68">
        <f t="shared" si="3"/>
        <v>2000</v>
      </c>
      <c r="O36" s="68">
        <f t="shared" si="4"/>
        <v>1530</v>
      </c>
    </row>
    <row r="37" spans="1:15" x14ac:dyDescent="0.3">
      <c r="A37" s="67" t="s">
        <v>131</v>
      </c>
      <c r="B37" s="70">
        <v>44979</v>
      </c>
      <c r="C37" s="67">
        <f t="shared" si="0"/>
        <v>2023</v>
      </c>
      <c r="D37" s="67" t="str">
        <f t="shared" si="1"/>
        <v>02 Feb</v>
      </c>
      <c r="E37" s="67" t="s">
        <v>39</v>
      </c>
      <c r="F37" s="67" t="s">
        <v>69</v>
      </c>
      <c r="G37" s="67" t="s">
        <v>60</v>
      </c>
      <c r="H37" s="67" t="s">
        <v>107</v>
      </c>
      <c r="I37" s="71">
        <v>1</v>
      </c>
      <c r="J37" s="72">
        <v>25180</v>
      </c>
      <c r="K37" s="73">
        <v>0</v>
      </c>
      <c r="L37" s="72">
        <v>18000</v>
      </c>
      <c r="M37" s="68">
        <f t="shared" si="2"/>
        <v>25180</v>
      </c>
      <c r="N37" s="68">
        <f t="shared" si="3"/>
        <v>18000</v>
      </c>
      <c r="O37" s="68">
        <f t="shared" si="4"/>
        <v>7180</v>
      </c>
    </row>
    <row r="38" spans="1:15" x14ac:dyDescent="0.3">
      <c r="A38" s="67" t="s">
        <v>132</v>
      </c>
      <c r="B38" s="70">
        <v>44980</v>
      </c>
      <c r="C38" s="67">
        <f t="shared" si="0"/>
        <v>2023</v>
      </c>
      <c r="D38" s="67" t="str">
        <f t="shared" si="1"/>
        <v>02 Feb</v>
      </c>
      <c r="E38" s="67" t="s">
        <v>45</v>
      </c>
      <c r="F38" s="67" t="s">
        <v>70</v>
      </c>
      <c r="G38" s="67" t="s">
        <v>62</v>
      </c>
      <c r="H38" s="67" t="s">
        <v>93</v>
      </c>
      <c r="I38" s="71">
        <v>2</v>
      </c>
      <c r="J38" s="72">
        <v>17760</v>
      </c>
      <c r="K38" s="73">
        <v>0.05</v>
      </c>
      <c r="L38" s="72">
        <v>12500</v>
      </c>
      <c r="M38" s="68">
        <f t="shared" si="2"/>
        <v>33744</v>
      </c>
      <c r="N38" s="68">
        <f t="shared" si="3"/>
        <v>25000</v>
      </c>
      <c r="O38" s="68">
        <f t="shared" si="4"/>
        <v>8744</v>
      </c>
    </row>
    <row r="39" spans="1:15" x14ac:dyDescent="0.3">
      <c r="A39" s="67" t="s">
        <v>133</v>
      </c>
      <c r="B39" s="70">
        <v>44981</v>
      </c>
      <c r="C39" s="67">
        <f t="shared" si="0"/>
        <v>2023</v>
      </c>
      <c r="D39" s="67" t="str">
        <f t="shared" si="1"/>
        <v>02 Feb</v>
      </c>
      <c r="E39" s="67" t="s">
        <v>45</v>
      </c>
      <c r="F39" s="67" t="s">
        <v>71</v>
      </c>
      <c r="G39" s="67" t="s">
        <v>55</v>
      </c>
      <c r="H39" s="67" t="s">
        <v>87</v>
      </c>
      <c r="I39" s="71">
        <v>36</v>
      </c>
      <c r="J39" s="72">
        <v>430</v>
      </c>
      <c r="K39" s="73">
        <v>0.05</v>
      </c>
      <c r="L39" s="72">
        <v>250</v>
      </c>
      <c r="M39" s="68">
        <f t="shared" si="2"/>
        <v>14706</v>
      </c>
      <c r="N39" s="68">
        <f t="shared" si="3"/>
        <v>9000</v>
      </c>
      <c r="O39" s="68">
        <f t="shared" si="4"/>
        <v>5706</v>
      </c>
    </row>
    <row r="40" spans="1:15" x14ac:dyDescent="0.3">
      <c r="A40" s="67" t="s">
        <v>134</v>
      </c>
      <c r="B40" s="70">
        <v>44981</v>
      </c>
      <c r="C40" s="67">
        <f t="shared" si="0"/>
        <v>2023</v>
      </c>
      <c r="D40" s="67" t="str">
        <f t="shared" si="1"/>
        <v>02 Feb</v>
      </c>
      <c r="E40" s="67" t="s">
        <v>36</v>
      </c>
      <c r="F40" s="67" t="s">
        <v>66</v>
      </c>
      <c r="G40" s="67" t="s">
        <v>53</v>
      </c>
      <c r="H40" s="67" t="s">
        <v>114</v>
      </c>
      <c r="I40" s="71">
        <v>2</v>
      </c>
      <c r="J40" s="72">
        <v>11150</v>
      </c>
      <c r="K40" s="73">
        <v>0.1</v>
      </c>
      <c r="L40" s="72">
        <v>8000</v>
      </c>
      <c r="M40" s="68">
        <f t="shared" si="2"/>
        <v>20070</v>
      </c>
      <c r="N40" s="68">
        <f t="shared" si="3"/>
        <v>16000</v>
      </c>
      <c r="O40" s="68">
        <f t="shared" si="4"/>
        <v>4070</v>
      </c>
    </row>
    <row r="41" spans="1:15" x14ac:dyDescent="0.3">
      <c r="A41" s="67" t="s">
        <v>135</v>
      </c>
      <c r="B41" s="70">
        <v>44982</v>
      </c>
      <c r="C41" s="67">
        <f t="shared" si="0"/>
        <v>2023</v>
      </c>
      <c r="D41" s="67" t="str">
        <f t="shared" si="1"/>
        <v>02 Feb</v>
      </c>
      <c r="E41" s="67" t="s">
        <v>42</v>
      </c>
      <c r="F41" s="67" t="s">
        <v>70</v>
      </c>
      <c r="G41" s="67" t="s">
        <v>62</v>
      </c>
      <c r="H41" s="67" t="s">
        <v>89</v>
      </c>
      <c r="I41" s="71">
        <v>1</v>
      </c>
      <c r="J41" s="72">
        <v>17280</v>
      </c>
      <c r="K41" s="73">
        <v>0</v>
      </c>
      <c r="L41" s="72">
        <v>12500</v>
      </c>
      <c r="M41" s="68">
        <f t="shared" si="2"/>
        <v>17280</v>
      </c>
      <c r="N41" s="68">
        <f t="shared" si="3"/>
        <v>12500</v>
      </c>
      <c r="O41" s="68">
        <f t="shared" si="4"/>
        <v>4780</v>
      </c>
    </row>
    <row r="42" spans="1:15" x14ac:dyDescent="0.3">
      <c r="A42" s="67" t="s">
        <v>136</v>
      </c>
      <c r="B42" s="70">
        <v>44984</v>
      </c>
      <c r="C42" s="67">
        <f t="shared" si="0"/>
        <v>2023</v>
      </c>
      <c r="D42" s="67" t="str">
        <f t="shared" si="1"/>
        <v>02 Feb</v>
      </c>
      <c r="E42" s="67" t="s">
        <v>48</v>
      </c>
      <c r="F42" s="67" t="s">
        <v>71</v>
      </c>
      <c r="G42" s="67" t="s">
        <v>44</v>
      </c>
      <c r="H42" s="67" t="s">
        <v>95</v>
      </c>
      <c r="I42" s="71">
        <v>18</v>
      </c>
      <c r="J42" s="72">
        <v>690</v>
      </c>
      <c r="K42" s="73">
        <v>0</v>
      </c>
      <c r="L42" s="72">
        <v>380</v>
      </c>
      <c r="M42" s="68">
        <f t="shared" si="2"/>
        <v>12420</v>
      </c>
      <c r="N42" s="68">
        <f t="shared" si="3"/>
        <v>6840</v>
      </c>
      <c r="O42" s="68">
        <f t="shared" si="4"/>
        <v>5580</v>
      </c>
    </row>
    <row r="43" spans="1:15" x14ac:dyDescent="0.3">
      <c r="A43" s="67" t="s">
        <v>137</v>
      </c>
      <c r="B43" s="70">
        <v>44984</v>
      </c>
      <c r="C43" s="67">
        <f t="shared" si="0"/>
        <v>2023</v>
      </c>
      <c r="D43" s="67" t="str">
        <f t="shared" si="1"/>
        <v>02 Feb</v>
      </c>
      <c r="E43" s="67" t="s">
        <v>45</v>
      </c>
      <c r="F43" s="67" t="s">
        <v>71</v>
      </c>
      <c r="G43" s="67" t="s">
        <v>55</v>
      </c>
      <c r="H43" s="67" t="s">
        <v>87</v>
      </c>
      <c r="I43" s="71">
        <v>29</v>
      </c>
      <c r="J43" s="72">
        <v>460</v>
      </c>
      <c r="K43" s="73">
        <v>0.05</v>
      </c>
      <c r="L43" s="72">
        <v>250</v>
      </c>
      <c r="M43" s="68">
        <f t="shared" si="2"/>
        <v>12673</v>
      </c>
      <c r="N43" s="68">
        <f t="shared" si="3"/>
        <v>7250</v>
      </c>
      <c r="O43" s="68">
        <f t="shared" si="4"/>
        <v>5423</v>
      </c>
    </row>
    <row r="44" spans="1:15" x14ac:dyDescent="0.3">
      <c r="A44" s="67" t="s">
        <v>138</v>
      </c>
      <c r="B44" s="70">
        <v>44986</v>
      </c>
      <c r="C44" s="67">
        <f t="shared" si="0"/>
        <v>2023</v>
      </c>
      <c r="D44" s="67" t="str">
        <f t="shared" si="1"/>
        <v>03 Mar</v>
      </c>
      <c r="E44" s="67" t="s">
        <v>48</v>
      </c>
      <c r="F44" s="67" t="s">
        <v>71</v>
      </c>
      <c r="G44" s="67" t="s">
        <v>47</v>
      </c>
      <c r="H44" s="67" t="s">
        <v>98</v>
      </c>
      <c r="I44" s="71">
        <v>49</v>
      </c>
      <c r="J44" s="72">
        <v>300</v>
      </c>
      <c r="K44" s="73">
        <v>0</v>
      </c>
      <c r="L44" s="72">
        <v>160</v>
      </c>
      <c r="M44" s="68">
        <f t="shared" si="2"/>
        <v>14700</v>
      </c>
      <c r="N44" s="68">
        <f t="shared" si="3"/>
        <v>7840</v>
      </c>
      <c r="O44" s="68">
        <f t="shared" si="4"/>
        <v>6860</v>
      </c>
    </row>
    <row r="45" spans="1:15" x14ac:dyDescent="0.3">
      <c r="A45" s="67" t="s">
        <v>139</v>
      </c>
      <c r="B45" s="70">
        <v>44988</v>
      </c>
      <c r="C45" s="67">
        <f t="shared" si="0"/>
        <v>2023</v>
      </c>
      <c r="D45" s="67" t="str">
        <f t="shared" si="1"/>
        <v>03 Mar</v>
      </c>
      <c r="E45" s="67" t="s">
        <v>45</v>
      </c>
      <c r="F45" s="67" t="s">
        <v>69</v>
      </c>
      <c r="G45" s="67" t="s">
        <v>60</v>
      </c>
      <c r="H45" s="67" t="s">
        <v>87</v>
      </c>
      <c r="I45" s="71">
        <v>1</v>
      </c>
      <c r="J45" s="72">
        <v>24780</v>
      </c>
      <c r="K45" s="73">
        <v>0</v>
      </c>
      <c r="L45" s="72">
        <v>18000</v>
      </c>
      <c r="M45" s="68">
        <f t="shared" si="2"/>
        <v>24780</v>
      </c>
      <c r="N45" s="68">
        <f t="shared" si="3"/>
        <v>18000</v>
      </c>
      <c r="O45" s="68">
        <f t="shared" si="4"/>
        <v>6780</v>
      </c>
    </row>
    <row r="46" spans="1:15" x14ac:dyDescent="0.3">
      <c r="A46" s="67" t="s">
        <v>140</v>
      </c>
      <c r="B46" s="70">
        <v>44990</v>
      </c>
      <c r="C46" s="67">
        <f t="shared" si="0"/>
        <v>2023</v>
      </c>
      <c r="D46" s="67" t="str">
        <f t="shared" si="1"/>
        <v>03 Mar</v>
      </c>
      <c r="E46" s="67" t="s">
        <v>48</v>
      </c>
      <c r="F46" s="67" t="s">
        <v>71</v>
      </c>
      <c r="G46" s="67" t="s">
        <v>47</v>
      </c>
      <c r="H46" s="67" t="s">
        <v>95</v>
      </c>
      <c r="I46" s="71">
        <v>17</v>
      </c>
      <c r="J46" s="72">
        <v>290</v>
      </c>
      <c r="K46" s="73">
        <v>0</v>
      </c>
      <c r="L46" s="72">
        <v>160</v>
      </c>
      <c r="M46" s="68">
        <f t="shared" si="2"/>
        <v>4930</v>
      </c>
      <c r="N46" s="68">
        <f t="shared" si="3"/>
        <v>2720</v>
      </c>
      <c r="O46" s="68">
        <f t="shared" si="4"/>
        <v>2210</v>
      </c>
    </row>
    <row r="47" spans="1:15" x14ac:dyDescent="0.3">
      <c r="A47" s="67" t="s">
        <v>141</v>
      </c>
      <c r="B47" s="70">
        <v>44991</v>
      </c>
      <c r="C47" s="67">
        <f t="shared" si="0"/>
        <v>2023</v>
      </c>
      <c r="D47" s="67" t="str">
        <f t="shared" si="1"/>
        <v>03 Mar</v>
      </c>
      <c r="E47" s="67" t="s">
        <v>42</v>
      </c>
      <c r="F47" s="67" t="s">
        <v>70</v>
      </c>
      <c r="G47" s="67" t="s">
        <v>62</v>
      </c>
      <c r="H47" s="67" t="s">
        <v>112</v>
      </c>
      <c r="I47" s="71">
        <v>3</v>
      </c>
      <c r="J47" s="72">
        <v>18280</v>
      </c>
      <c r="K47" s="73">
        <v>0</v>
      </c>
      <c r="L47" s="72">
        <v>12500</v>
      </c>
      <c r="M47" s="68">
        <f t="shared" si="2"/>
        <v>54840</v>
      </c>
      <c r="N47" s="68">
        <f t="shared" si="3"/>
        <v>37500</v>
      </c>
      <c r="O47" s="68">
        <f t="shared" si="4"/>
        <v>17340</v>
      </c>
    </row>
    <row r="48" spans="1:15" x14ac:dyDescent="0.3">
      <c r="A48" s="67" t="s">
        <v>142</v>
      </c>
      <c r="B48" s="70">
        <v>44992</v>
      </c>
      <c r="C48" s="67">
        <f t="shared" si="0"/>
        <v>2023</v>
      </c>
      <c r="D48" s="67" t="str">
        <f t="shared" si="1"/>
        <v>03 Mar</v>
      </c>
      <c r="E48" s="67" t="s">
        <v>42</v>
      </c>
      <c r="F48" s="67" t="s">
        <v>69</v>
      </c>
      <c r="G48" s="67" t="s">
        <v>68</v>
      </c>
      <c r="H48" s="67" t="s">
        <v>112</v>
      </c>
      <c r="I48" s="71">
        <v>3</v>
      </c>
      <c r="J48" s="72">
        <v>3530</v>
      </c>
      <c r="K48" s="73">
        <v>0</v>
      </c>
      <c r="L48" s="72">
        <v>2000</v>
      </c>
      <c r="M48" s="68">
        <f t="shared" si="2"/>
        <v>10590</v>
      </c>
      <c r="N48" s="68">
        <f t="shared" si="3"/>
        <v>6000</v>
      </c>
      <c r="O48" s="68">
        <f t="shared" si="4"/>
        <v>4590</v>
      </c>
    </row>
    <row r="49" spans="1:15" x14ac:dyDescent="0.3">
      <c r="A49" s="67" t="s">
        <v>143</v>
      </c>
      <c r="B49" s="70">
        <v>44993</v>
      </c>
      <c r="C49" s="67">
        <f t="shared" si="0"/>
        <v>2023</v>
      </c>
      <c r="D49" s="67" t="str">
        <f t="shared" si="1"/>
        <v>03 Mar</v>
      </c>
      <c r="E49" s="67" t="s">
        <v>48</v>
      </c>
      <c r="F49" s="67" t="s">
        <v>69</v>
      </c>
      <c r="G49" s="67" t="s">
        <v>60</v>
      </c>
      <c r="H49" s="67" t="s">
        <v>95</v>
      </c>
      <c r="I49" s="71">
        <v>1</v>
      </c>
      <c r="J49" s="72">
        <v>24910</v>
      </c>
      <c r="K49" s="73">
        <v>0</v>
      </c>
      <c r="L49" s="72">
        <v>18000</v>
      </c>
      <c r="M49" s="68">
        <f t="shared" si="2"/>
        <v>24910</v>
      </c>
      <c r="N49" s="68">
        <f t="shared" si="3"/>
        <v>18000</v>
      </c>
      <c r="O49" s="68">
        <f t="shared" si="4"/>
        <v>6910</v>
      </c>
    </row>
    <row r="50" spans="1:15" x14ac:dyDescent="0.3">
      <c r="A50" s="67" t="s">
        <v>144</v>
      </c>
      <c r="B50" s="70">
        <v>44994</v>
      </c>
      <c r="C50" s="67">
        <f t="shared" si="0"/>
        <v>2023</v>
      </c>
      <c r="D50" s="67" t="str">
        <f t="shared" si="1"/>
        <v>03 Mar</v>
      </c>
      <c r="E50" s="67" t="s">
        <v>45</v>
      </c>
      <c r="F50" s="67" t="s">
        <v>69</v>
      </c>
      <c r="G50" s="67" t="s">
        <v>50</v>
      </c>
      <c r="H50" s="67" t="s">
        <v>87</v>
      </c>
      <c r="I50" s="71">
        <v>1</v>
      </c>
      <c r="J50" s="72">
        <v>52440</v>
      </c>
      <c r="K50" s="73">
        <v>0</v>
      </c>
      <c r="L50" s="72">
        <v>42000</v>
      </c>
      <c r="M50" s="68">
        <f t="shared" si="2"/>
        <v>52440</v>
      </c>
      <c r="N50" s="68">
        <f t="shared" si="3"/>
        <v>42000</v>
      </c>
      <c r="O50" s="68">
        <f t="shared" si="4"/>
        <v>10440</v>
      </c>
    </row>
    <row r="51" spans="1:15" x14ac:dyDescent="0.3">
      <c r="A51" s="67" t="s">
        <v>145</v>
      </c>
      <c r="B51" s="70">
        <v>44994</v>
      </c>
      <c r="C51" s="67">
        <f t="shared" si="0"/>
        <v>2023</v>
      </c>
      <c r="D51" s="67" t="str">
        <f t="shared" si="1"/>
        <v>03 Mar</v>
      </c>
      <c r="E51" s="67" t="s">
        <v>36</v>
      </c>
      <c r="F51" s="67" t="s">
        <v>69</v>
      </c>
      <c r="G51" s="67" t="s">
        <v>68</v>
      </c>
      <c r="H51" s="67" t="s">
        <v>114</v>
      </c>
      <c r="I51" s="71">
        <v>1</v>
      </c>
      <c r="J51" s="72">
        <v>3420</v>
      </c>
      <c r="K51" s="73">
        <v>0.05</v>
      </c>
      <c r="L51" s="72">
        <v>2000</v>
      </c>
      <c r="M51" s="68">
        <f t="shared" si="2"/>
        <v>3249</v>
      </c>
      <c r="N51" s="68">
        <f t="shared" si="3"/>
        <v>2000</v>
      </c>
      <c r="O51" s="68">
        <f t="shared" si="4"/>
        <v>1249</v>
      </c>
    </row>
    <row r="52" spans="1:15" x14ac:dyDescent="0.3">
      <c r="A52" s="67" t="s">
        <v>146</v>
      </c>
      <c r="B52" s="70">
        <v>44999</v>
      </c>
      <c r="C52" s="67">
        <f t="shared" si="0"/>
        <v>2023</v>
      </c>
      <c r="D52" s="67" t="str">
        <f t="shared" si="1"/>
        <v>03 Mar</v>
      </c>
      <c r="E52" s="67" t="s">
        <v>45</v>
      </c>
      <c r="F52" s="67" t="s">
        <v>71</v>
      </c>
      <c r="G52" s="67" t="s">
        <v>47</v>
      </c>
      <c r="H52" s="67" t="s">
        <v>93</v>
      </c>
      <c r="I52" s="71">
        <v>19</v>
      </c>
      <c r="J52" s="72">
        <v>290</v>
      </c>
      <c r="K52" s="73">
        <v>0.05</v>
      </c>
      <c r="L52" s="72">
        <v>160</v>
      </c>
      <c r="M52" s="68">
        <f t="shared" si="2"/>
        <v>5234.5</v>
      </c>
      <c r="N52" s="68">
        <f t="shared" si="3"/>
        <v>3040</v>
      </c>
      <c r="O52" s="68">
        <f t="shared" si="4"/>
        <v>2194.5</v>
      </c>
    </row>
    <row r="53" spans="1:15" x14ac:dyDescent="0.3">
      <c r="A53" s="67" t="s">
        <v>147</v>
      </c>
      <c r="B53" s="70">
        <v>45000</v>
      </c>
      <c r="C53" s="67">
        <f t="shared" si="0"/>
        <v>2023</v>
      </c>
      <c r="D53" s="67" t="str">
        <f t="shared" si="1"/>
        <v>03 Mar</v>
      </c>
      <c r="E53" s="67" t="s">
        <v>48</v>
      </c>
      <c r="F53" s="67" t="s">
        <v>69</v>
      </c>
      <c r="G53" s="67" t="s">
        <v>68</v>
      </c>
      <c r="H53" s="67" t="s">
        <v>95</v>
      </c>
      <c r="I53" s="71">
        <v>6</v>
      </c>
      <c r="J53" s="72">
        <v>3650</v>
      </c>
      <c r="K53" s="73">
        <v>0</v>
      </c>
      <c r="L53" s="72">
        <v>2000</v>
      </c>
      <c r="M53" s="68">
        <f t="shared" si="2"/>
        <v>21900</v>
      </c>
      <c r="N53" s="68">
        <f t="shared" si="3"/>
        <v>12000</v>
      </c>
      <c r="O53" s="68">
        <f t="shared" si="4"/>
        <v>9900</v>
      </c>
    </row>
    <row r="54" spans="1:15" x14ac:dyDescent="0.3">
      <c r="A54" s="67" t="s">
        <v>148</v>
      </c>
      <c r="B54" s="70">
        <v>45000</v>
      </c>
      <c r="C54" s="67">
        <f t="shared" si="0"/>
        <v>2023</v>
      </c>
      <c r="D54" s="67" t="str">
        <f t="shared" si="1"/>
        <v>03 Mar</v>
      </c>
      <c r="E54" s="67" t="s">
        <v>42</v>
      </c>
      <c r="F54" s="67" t="s">
        <v>71</v>
      </c>
      <c r="G54" s="67" t="s">
        <v>47</v>
      </c>
      <c r="H54" s="67" t="s">
        <v>89</v>
      </c>
      <c r="I54" s="71">
        <v>44</v>
      </c>
      <c r="J54" s="72">
        <v>300</v>
      </c>
      <c r="K54" s="73">
        <v>0</v>
      </c>
      <c r="L54" s="72">
        <v>160</v>
      </c>
      <c r="M54" s="68">
        <f t="shared" si="2"/>
        <v>13200</v>
      </c>
      <c r="N54" s="68">
        <f t="shared" si="3"/>
        <v>7040</v>
      </c>
      <c r="O54" s="68">
        <f t="shared" si="4"/>
        <v>6160</v>
      </c>
    </row>
    <row r="55" spans="1:15" x14ac:dyDescent="0.3">
      <c r="A55" s="67" t="s">
        <v>149</v>
      </c>
      <c r="B55" s="70">
        <v>45001</v>
      </c>
      <c r="C55" s="67">
        <f t="shared" si="0"/>
        <v>2023</v>
      </c>
      <c r="D55" s="67" t="str">
        <f t="shared" si="1"/>
        <v>03 Mar</v>
      </c>
      <c r="E55" s="67" t="s">
        <v>39</v>
      </c>
      <c r="F55" s="67" t="s">
        <v>66</v>
      </c>
      <c r="G55" s="67" t="s">
        <v>65</v>
      </c>
      <c r="H55" s="67" t="s">
        <v>107</v>
      </c>
      <c r="I55" s="71">
        <v>3</v>
      </c>
      <c r="J55" s="72">
        <v>14100</v>
      </c>
      <c r="K55" s="73">
        <v>0</v>
      </c>
      <c r="L55" s="72">
        <v>9000</v>
      </c>
      <c r="M55" s="68">
        <f t="shared" si="2"/>
        <v>42300</v>
      </c>
      <c r="N55" s="68">
        <f t="shared" si="3"/>
        <v>27000</v>
      </c>
      <c r="O55" s="68">
        <f t="shared" si="4"/>
        <v>15300</v>
      </c>
    </row>
    <row r="56" spans="1:15" x14ac:dyDescent="0.3">
      <c r="A56" s="67" t="s">
        <v>150</v>
      </c>
      <c r="B56" s="70">
        <v>45005</v>
      </c>
      <c r="C56" s="67">
        <f t="shared" si="0"/>
        <v>2023</v>
      </c>
      <c r="D56" s="67" t="str">
        <f t="shared" si="1"/>
        <v>03 Mar</v>
      </c>
      <c r="E56" s="67" t="s">
        <v>45</v>
      </c>
      <c r="F56" s="67" t="s">
        <v>71</v>
      </c>
      <c r="G56" s="67" t="s">
        <v>55</v>
      </c>
      <c r="H56" s="67" t="s">
        <v>93</v>
      </c>
      <c r="I56" s="71">
        <v>27</v>
      </c>
      <c r="J56" s="72">
        <v>440</v>
      </c>
      <c r="K56" s="73">
        <v>0</v>
      </c>
      <c r="L56" s="72">
        <v>250</v>
      </c>
      <c r="M56" s="68">
        <f t="shared" si="2"/>
        <v>11880</v>
      </c>
      <c r="N56" s="68">
        <f t="shared" si="3"/>
        <v>6750</v>
      </c>
      <c r="O56" s="68">
        <f t="shared" si="4"/>
        <v>5130</v>
      </c>
    </row>
    <row r="57" spans="1:15" x14ac:dyDescent="0.3">
      <c r="A57" s="67" t="s">
        <v>151</v>
      </c>
      <c r="B57" s="70">
        <v>45005</v>
      </c>
      <c r="C57" s="67">
        <f t="shared" si="0"/>
        <v>2023</v>
      </c>
      <c r="D57" s="67" t="str">
        <f t="shared" si="1"/>
        <v>03 Mar</v>
      </c>
      <c r="E57" s="67" t="s">
        <v>39</v>
      </c>
      <c r="F57" s="67" t="s">
        <v>70</v>
      </c>
      <c r="G57" s="67" t="s">
        <v>62</v>
      </c>
      <c r="H57" s="67" t="s">
        <v>100</v>
      </c>
      <c r="I57" s="71">
        <v>1</v>
      </c>
      <c r="J57" s="72">
        <v>17980</v>
      </c>
      <c r="K57" s="73">
        <v>0.05</v>
      </c>
      <c r="L57" s="72">
        <v>12500</v>
      </c>
      <c r="M57" s="68">
        <f t="shared" si="2"/>
        <v>17081</v>
      </c>
      <c r="N57" s="68">
        <f t="shared" si="3"/>
        <v>12500</v>
      </c>
      <c r="O57" s="68">
        <f t="shared" si="4"/>
        <v>4581</v>
      </c>
    </row>
    <row r="58" spans="1:15" x14ac:dyDescent="0.3">
      <c r="A58" s="67" t="s">
        <v>152</v>
      </c>
      <c r="B58" s="70">
        <v>45011</v>
      </c>
      <c r="C58" s="67">
        <f t="shared" si="0"/>
        <v>2023</v>
      </c>
      <c r="D58" s="67" t="str">
        <f t="shared" si="1"/>
        <v>03 Mar</v>
      </c>
      <c r="E58" s="67" t="s">
        <v>48</v>
      </c>
      <c r="F58" s="67" t="s">
        <v>69</v>
      </c>
      <c r="G58" s="67" t="s">
        <v>50</v>
      </c>
      <c r="H58" s="67" t="s">
        <v>95</v>
      </c>
      <c r="I58" s="71">
        <v>1</v>
      </c>
      <c r="J58" s="72">
        <v>54030</v>
      </c>
      <c r="K58" s="73">
        <v>0.05</v>
      </c>
      <c r="L58" s="72">
        <v>42000</v>
      </c>
      <c r="M58" s="68">
        <f t="shared" si="2"/>
        <v>51328.5</v>
      </c>
      <c r="N58" s="68">
        <f t="shared" si="3"/>
        <v>42000</v>
      </c>
      <c r="O58" s="68">
        <f t="shared" si="4"/>
        <v>9328.5</v>
      </c>
    </row>
    <row r="59" spans="1:15" x14ac:dyDescent="0.3">
      <c r="A59" s="67" t="s">
        <v>153</v>
      </c>
      <c r="B59" s="70">
        <v>45012</v>
      </c>
      <c r="C59" s="67">
        <f t="shared" si="0"/>
        <v>2023</v>
      </c>
      <c r="D59" s="67" t="str">
        <f t="shared" si="1"/>
        <v>03 Mar</v>
      </c>
      <c r="E59" s="67" t="s">
        <v>45</v>
      </c>
      <c r="F59" s="67" t="s">
        <v>71</v>
      </c>
      <c r="G59" s="67" t="s">
        <v>47</v>
      </c>
      <c r="H59" s="67" t="s">
        <v>93</v>
      </c>
      <c r="I59" s="71">
        <v>34</v>
      </c>
      <c r="J59" s="72">
        <v>300</v>
      </c>
      <c r="K59" s="73">
        <v>0.15</v>
      </c>
      <c r="L59" s="72">
        <v>160</v>
      </c>
      <c r="M59" s="68">
        <f t="shared" si="2"/>
        <v>8670</v>
      </c>
      <c r="N59" s="68">
        <f t="shared" si="3"/>
        <v>5440</v>
      </c>
      <c r="O59" s="68">
        <f t="shared" si="4"/>
        <v>3230</v>
      </c>
    </row>
    <row r="60" spans="1:15" x14ac:dyDescent="0.3">
      <c r="A60" s="67" t="s">
        <v>154</v>
      </c>
      <c r="B60" s="70">
        <v>45013</v>
      </c>
      <c r="C60" s="67">
        <f t="shared" si="0"/>
        <v>2023</v>
      </c>
      <c r="D60" s="67" t="str">
        <f t="shared" si="1"/>
        <v>03 Mar</v>
      </c>
      <c r="E60" s="67" t="s">
        <v>48</v>
      </c>
      <c r="F60" s="67" t="s">
        <v>71</v>
      </c>
      <c r="G60" s="67" t="s">
        <v>47</v>
      </c>
      <c r="H60" s="67" t="s">
        <v>98</v>
      </c>
      <c r="I60" s="71">
        <v>32</v>
      </c>
      <c r="J60" s="72">
        <v>290</v>
      </c>
      <c r="K60" s="73">
        <v>0</v>
      </c>
      <c r="L60" s="72">
        <v>160</v>
      </c>
      <c r="M60" s="68">
        <f t="shared" si="2"/>
        <v>9280</v>
      </c>
      <c r="N60" s="68">
        <f t="shared" si="3"/>
        <v>5120</v>
      </c>
      <c r="O60" s="68">
        <f t="shared" si="4"/>
        <v>4160</v>
      </c>
    </row>
    <row r="61" spans="1:15" x14ac:dyDescent="0.3">
      <c r="A61" s="67" t="s">
        <v>155</v>
      </c>
      <c r="B61" s="70">
        <v>45018</v>
      </c>
      <c r="C61" s="67">
        <f t="shared" si="0"/>
        <v>2023</v>
      </c>
      <c r="D61" s="67" t="str">
        <f t="shared" si="1"/>
        <v>04 Apr</v>
      </c>
      <c r="E61" s="67" t="s">
        <v>42</v>
      </c>
      <c r="F61" s="67" t="s">
        <v>66</v>
      </c>
      <c r="G61" s="67" t="s">
        <v>65</v>
      </c>
      <c r="H61" s="67" t="s">
        <v>89</v>
      </c>
      <c r="I61" s="71">
        <v>1</v>
      </c>
      <c r="J61" s="72">
        <v>13330</v>
      </c>
      <c r="K61" s="73">
        <v>0.15</v>
      </c>
      <c r="L61" s="72">
        <v>9000</v>
      </c>
      <c r="M61" s="68">
        <f t="shared" si="2"/>
        <v>11330.5</v>
      </c>
      <c r="N61" s="68">
        <f t="shared" si="3"/>
        <v>9000</v>
      </c>
      <c r="O61" s="68">
        <f t="shared" si="4"/>
        <v>2330.5</v>
      </c>
    </row>
    <row r="62" spans="1:15" x14ac:dyDescent="0.3">
      <c r="A62" s="67" t="s">
        <v>156</v>
      </c>
      <c r="B62" s="70">
        <v>45018</v>
      </c>
      <c r="C62" s="67">
        <f t="shared" si="0"/>
        <v>2023</v>
      </c>
      <c r="D62" s="67" t="str">
        <f t="shared" si="1"/>
        <v>04 Apr</v>
      </c>
      <c r="E62" s="67" t="s">
        <v>48</v>
      </c>
      <c r="F62" s="67" t="s">
        <v>69</v>
      </c>
      <c r="G62" s="67" t="s">
        <v>50</v>
      </c>
      <c r="H62" s="67" t="s">
        <v>95</v>
      </c>
      <c r="I62" s="71">
        <v>2</v>
      </c>
      <c r="J62" s="72">
        <v>55020</v>
      </c>
      <c r="K62" s="73">
        <v>0</v>
      </c>
      <c r="L62" s="72">
        <v>42000</v>
      </c>
      <c r="M62" s="68">
        <f t="shared" si="2"/>
        <v>110040</v>
      </c>
      <c r="N62" s="68">
        <f t="shared" si="3"/>
        <v>84000</v>
      </c>
      <c r="O62" s="68">
        <f t="shared" si="4"/>
        <v>26040</v>
      </c>
    </row>
    <row r="63" spans="1:15" x14ac:dyDescent="0.3">
      <c r="A63" s="67" t="s">
        <v>157</v>
      </c>
      <c r="B63" s="70">
        <v>45020</v>
      </c>
      <c r="C63" s="67">
        <f t="shared" si="0"/>
        <v>2023</v>
      </c>
      <c r="D63" s="67" t="str">
        <f t="shared" si="1"/>
        <v>04 Apr</v>
      </c>
      <c r="E63" s="67" t="s">
        <v>42</v>
      </c>
      <c r="F63" s="67" t="s">
        <v>69</v>
      </c>
      <c r="G63" s="67" t="s">
        <v>60</v>
      </c>
      <c r="H63" s="67" t="s">
        <v>112</v>
      </c>
      <c r="I63" s="71">
        <v>1</v>
      </c>
      <c r="J63" s="72">
        <v>24770</v>
      </c>
      <c r="K63" s="73">
        <v>0.15</v>
      </c>
      <c r="L63" s="72">
        <v>18000</v>
      </c>
      <c r="M63" s="68">
        <f t="shared" si="2"/>
        <v>21054.5</v>
      </c>
      <c r="N63" s="68">
        <f t="shared" si="3"/>
        <v>18000</v>
      </c>
      <c r="O63" s="68">
        <f t="shared" si="4"/>
        <v>3054.5</v>
      </c>
    </row>
    <row r="64" spans="1:15" x14ac:dyDescent="0.3">
      <c r="A64" s="67" t="s">
        <v>158</v>
      </c>
      <c r="B64" s="70">
        <v>45020</v>
      </c>
      <c r="C64" s="67">
        <f t="shared" si="0"/>
        <v>2023</v>
      </c>
      <c r="D64" s="67" t="str">
        <f t="shared" si="1"/>
        <v>04 Apr</v>
      </c>
      <c r="E64" s="67" t="s">
        <v>42</v>
      </c>
      <c r="F64" s="67" t="s">
        <v>69</v>
      </c>
      <c r="G64" s="67" t="s">
        <v>68</v>
      </c>
      <c r="H64" s="67" t="s">
        <v>89</v>
      </c>
      <c r="I64" s="71">
        <v>6</v>
      </c>
      <c r="J64" s="72">
        <v>3570</v>
      </c>
      <c r="K64" s="73">
        <v>0.15</v>
      </c>
      <c r="L64" s="72">
        <v>2000</v>
      </c>
      <c r="M64" s="68">
        <f t="shared" si="2"/>
        <v>18207</v>
      </c>
      <c r="N64" s="68">
        <f t="shared" si="3"/>
        <v>12000</v>
      </c>
      <c r="O64" s="68">
        <f t="shared" si="4"/>
        <v>6207</v>
      </c>
    </row>
    <row r="65" spans="1:15" x14ac:dyDescent="0.3">
      <c r="A65" s="67" t="s">
        <v>159</v>
      </c>
      <c r="B65" s="70">
        <v>45021</v>
      </c>
      <c r="C65" s="67">
        <f t="shared" si="0"/>
        <v>2023</v>
      </c>
      <c r="D65" s="67" t="str">
        <f t="shared" si="1"/>
        <v>04 Apr</v>
      </c>
      <c r="E65" s="67" t="s">
        <v>45</v>
      </c>
      <c r="F65" s="67" t="s">
        <v>69</v>
      </c>
      <c r="G65" s="67" t="s">
        <v>60</v>
      </c>
      <c r="H65" s="67" t="s">
        <v>87</v>
      </c>
      <c r="I65" s="71">
        <v>2</v>
      </c>
      <c r="J65" s="72">
        <v>24750</v>
      </c>
      <c r="K65" s="73">
        <v>0</v>
      </c>
      <c r="L65" s="72">
        <v>18000</v>
      </c>
      <c r="M65" s="68">
        <f t="shared" si="2"/>
        <v>49500</v>
      </c>
      <c r="N65" s="68">
        <f t="shared" si="3"/>
        <v>36000</v>
      </c>
      <c r="O65" s="68">
        <f t="shared" si="4"/>
        <v>13500</v>
      </c>
    </row>
    <row r="66" spans="1:15" x14ac:dyDescent="0.3">
      <c r="A66" s="67" t="s">
        <v>160</v>
      </c>
      <c r="B66" s="70">
        <v>45021</v>
      </c>
      <c r="C66" s="67">
        <f t="shared" ref="C66:C129" si="5">YEAR(B66)</f>
        <v>2023</v>
      </c>
      <c r="D66" s="67" t="str">
        <f t="shared" ref="D66:D129" si="6">CHOOSE(MONTH(B66),"01 Jan","02 Feb","03 Mar","04 Apr","05 May","06 Jun","07 Jul","08 Aug","09 Sep","10 Oct","11 Nov","12 Dec")</f>
        <v>04 Apr</v>
      </c>
      <c r="E66" s="67" t="s">
        <v>45</v>
      </c>
      <c r="F66" s="67" t="s">
        <v>71</v>
      </c>
      <c r="G66" s="67" t="s">
        <v>47</v>
      </c>
      <c r="H66" s="67" t="s">
        <v>87</v>
      </c>
      <c r="I66" s="71">
        <v>23</v>
      </c>
      <c r="J66" s="72">
        <v>310</v>
      </c>
      <c r="K66" s="73">
        <v>0.1</v>
      </c>
      <c r="L66" s="72">
        <v>160</v>
      </c>
      <c r="M66" s="68">
        <f t="shared" ref="M66:M129" si="7">I66*J66*(1-K66)</f>
        <v>6417</v>
      </c>
      <c r="N66" s="68">
        <f t="shared" ref="N66:N129" si="8">I66*L66</f>
        <v>3680</v>
      </c>
      <c r="O66" s="68">
        <f t="shared" ref="O66:O129" si="9">M66-N66</f>
        <v>2737</v>
      </c>
    </row>
    <row r="67" spans="1:15" x14ac:dyDescent="0.3">
      <c r="A67" s="67" t="s">
        <v>161</v>
      </c>
      <c r="B67" s="70">
        <v>45023</v>
      </c>
      <c r="C67" s="67">
        <f t="shared" si="5"/>
        <v>2023</v>
      </c>
      <c r="D67" s="67" t="str">
        <f t="shared" si="6"/>
        <v>04 Apr</v>
      </c>
      <c r="E67" s="67" t="s">
        <v>42</v>
      </c>
      <c r="F67" s="67" t="s">
        <v>69</v>
      </c>
      <c r="G67" s="67" t="s">
        <v>68</v>
      </c>
      <c r="H67" s="67" t="s">
        <v>89</v>
      </c>
      <c r="I67" s="71">
        <v>6</v>
      </c>
      <c r="J67" s="72">
        <v>3550</v>
      </c>
      <c r="K67" s="73">
        <v>0.05</v>
      </c>
      <c r="L67" s="72">
        <v>2000</v>
      </c>
      <c r="M67" s="68">
        <f t="shared" si="7"/>
        <v>20235</v>
      </c>
      <c r="N67" s="68">
        <f t="shared" si="8"/>
        <v>12000</v>
      </c>
      <c r="O67" s="68">
        <f t="shared" si="9"/>
        <v>8235</v>
      </c>
    </row>
    <row r="68" spans="1:15" x14ac:dyDescent="0.3">
      <c r="A68" s="67" t="s">
        <v>162</v>
      </c>
      <c r="B68" s="70">
        <v>45024</v>
      </c>
      <c r="C68" s="67">
        <f t="shared" si="5"/>
        <v>2023</v>
      </c>
      <c r="D68" s="67" t="str">
        <f t="shared" si="6"/>
        <v>04 Apr</v>
      </c>
      <c r="E68" s="67" t="s">
        <v>42</v>
      </c>
      <c r="F68" s="67" t="s">
        <v>70</v>
      </c>
      <c r="G68" s="67" t="s">
        <v>41</v>
      </c>
      <c r="H68" s="67" t="s">
        <v>89</v>
      </c>
      <c r="I68" s="71">
        <v>2</v>
      </c>
      <c r="J68" s="72">
        <v>6350</v>
      </c>
      <c r="K68" s="73">
        <v>0.15</v>
      </c>
      <c r="L68" s="72">
        <v>4200</v>
      </c>
      <c r="M68" s="68">
        <f t="shared" si="7"/>
        <v>10795</v>
      </c>
      <c r="N68" s="68">
        <f t="shared" si="8"/>
        <v>8400</v>
      </c>
      <c r="O68" s="68">
        <f t="shared" si="9"/>
        <v>2395</v>
      </c>
    </row>
    <row r="69" spans="1:15" x14ac:dyDescent="0.3">
      <c r="A69" s="67" t="s">
        <v>163</v>
      </c>
      <c r="B69" s="70">
        <v>45025</v>
      </c>
      <c r="C69" s="67">
        <f t="shared" si="5"/>
        <v>2023</v>
      </c>
      <c r="D69" s="67" t="str">
        <f t="shared" si="6"/>
        <v>04 Apr</v>
      </c>
      <c r="E69" s="67" t="s">
        <v>42</v>
      </c>
      <c r="F69" s="67" t="s">
        <v>69</v>
      </c>
      <c r="G69" s="67" t="s">
        <v>50</v>
      </c>
      <c r="H69" s="67" t="s">
        <v>89</v>
      </c>
      <c r="I69" s="71">
        <v>1</v>
      </c>
      <c r="J69" s="72">
        <v>54690</v>
      </c>
      <c r="K69" s="73">
        <v>0.05</v>
      </c>
      <c r="L69" s="72">
        <v>42000</v>
      </c>
      <c r="M69" s="68">
        <f t="shared" si="7"/>
        <v>51955.5</v>
      </c>
      <c r="N69" s="68">
        <f t="shared" si="8"/>
        <v>42000</v>
      </c>
      <c r="O69" s="68">
        <f t="shared" si="9"/>
        <v>9955.5</v>
      </c>
    </row>
    <row r="70" spans="1:15" x14ac:dyDescent="0.3">
      <c r="A70" s="67" t="s">
        <v>164</v>
      </c>
      <c r="B70" s="70">
        <v>45025</v>
      </c>
      <c r="C70" s="67">
        <f t="shared" si="5"/>
        <v>2023</v>
      </c>
      <c r="D70" s="67" t="str">
        <f t="shared" si="6"/>
        <v>04 Apr</v>
      </c>
      <c r="E70" s="67" t="s">
        <v>48</v>
      </c>
      <c r="F70" s="67" t="s">
        <v>70</v>
      </c>
      <c r="G70" s="67" t="s">
        <v>62</v>
      </c>
      <c r="H70" s="67" t="s">
        <v>95</v>
      </c>
      <c r="I70" s="71">
        <v>2</v>
      </c>
      <c r="J70" s="72">
        <v>18220</v>
      </c>
      <c r="K70" s="73">
        <v>0</v>
      </c>
      <c r="L70" s="72">
        <v>12500</v>
      </c>
      <c r="M70" s="68">
        <f t="shared" si="7"/>
        <v>36440</v>
      </c>
      <c r="N70" s="68">
        <f t="shared" si="8"/>
        <v>25000</v>
      </c>
      <c r="O70" s="68">
        <f t="shared" si="9"/>
        <v>11440</v>
      </c>
    </row>
    <row r="71" spans="1:15" x14ac:dyDescent="0.3">
      <c r="A71" s="67" t="s">
        <v>165</v>
      </c>
      <c r="B71" s="70">
        <v>45025</v>
      </c>
      <c r="C71" s="67">
        <f t="shared" si="5"/>
        <v>2023</v>
      </c>
      <c r="D71" s="67" t="str">
        <f t="shared" si="6"/>
        <v>04 Apr</v>
      </c>
      <c r="E71" s="67" t="s">
        <v>48</v>
      </c>
      <c r="F71" s="67" t="s">
        <v>69</v>
      </c>
      <c r="G71" s="67" t="s">
        <v>60</v>
      </c>
      <c r="H71" s="67" t="s">
        <v>98</v>
      </c>
      <c r="I71" s="71">
        <v>1</v>
      </c>
      <c r="J71" s="72">
        <v>23370</v>
      </c>
      <c r="K71" s="73">
        <v>0</v>
      </c>
      <c r="L71" s="72">
        <v>18000</v>
      </c>
      <c r="M71" s="68">
        <f t="shared" si="7"/>
        <v>23370</v>
      </c>
      <c r="N71" s="68">
        <f t="shared" si="8"/>
        <v>18000</v>
      </c>
      <c r="O71" s="68">
        <f t="shared" si="9"/>
        <v>5370</v>
      </c>
    </row>
    <row r="72" spans="1:15" x14ac:dyDescent="0.3">
      <c r="A72" s="67" t="s">
        <v>166</v>
      </c>
      <c r="B72" s="70">
        <v>45026</v>
      </c>
      <c r="C72" s="67">
        <f t="shared" si="5"/>
        <v>2023</v>
      </c>
      <c r="D72" s="67" t="str">
        <f t="shared" si="6"/>
        <v>04 Apr</v>
      </c>
      <c r="E72" s="67" t="s">
        <v>48</v>
      </c>
      <c r="F72" s="67" t="s">
        <v>70</v>
      </c>
      <c r="G72" s="67" t="s">
        <v>58</v>
      </c>
      <c r="H72" s="67" t="s">
        <v>95</v>
      </c>
      <c r="I72" s="71">
        <v>5</v>
      </c>
      <c r="J72" s="72">
        <v>9350</v>
      </c>
      <c r="K72" s="73">
        <v>0.05</v>
      </c>
      <c r="L72" s="72">
        <v>6000</v>
      </c>
      <c r="M72" s="68">
        <f t="shared" si="7"/>
        <v>44412.5</v>
      </c>
      <c r="N72" s="68">
        <f t="shared" si="8"/>
        <v>30000</v>
      </c>
      <c r="O72" s="68">
        <f t="shared" si="9"/>
        <v>14412.5</v>
      </c>
    </row>
    <row r="73" spans="1:15" x14ac:dyDescent="0.3">
      <c r="A73" s="67" t="s">
        <v>167</v>
      </c>
      <c r="B73" s="70">
        <v>45027</v>
      </c>
      <c r="C73" s="67">
        <f t="shared" si="5"/>
        <v>2023</v>
      </c>
      <c r="D73" s="67" t="str">
        <f t="shared" si="6"/>
        <v>04 Apr</v>
      </c>
      <c r="E73" s="67" t="s">
        <v>39</v>
      </c>
      <c r="F73" s="67" t="s">
        <v>66</v>
      </c>
      <c r="G73" s="67" t="s">
        <v>53</v>
      </c>
      <c r="H73" s="67" t="s">
        <v>100</v>
      </c>
      <c r="I73" s="71">
        <v>3</v>
      </c>
      <c r="J73" s="72">
        <v>10720</v>
      </c>
      <c r="K73" s="73">
        <v>0.05</v>
      </c>
      <c r="L73" s="72">
        <v>8000</v>
      </c>
      <c r="M73" s="68">
        <f t="shared" si="7"/>
        <v>30552</v>
      </c>
      <c r="N73" s="68">
        <f t="shared" si="8"/>
        <v>24000</v>
      </c>
      <c r="O73" s="68">
        <f t="shared" si="9"/>
        <v>6552</v>
      </c>
    </row>
    <row r="74" spans="1:15" x14ac:dyDescent="0.3">
      <c r="A74" s="67" t="s">
        <v>168</v>
      </c>
      <c r="B74" s="70">
        <v>45029</v>
      </c>
      <c r="C74" s="67">
        <f t="shared" si="5"/>
        <v>2023</v>
      </c>
      <c r="D74" s="67" t="str">
        <f t="shared" si="6"/>
        <v>04 Apr</v>
      </c>
      <c r="E74" s="67" t="s">
        <v>48</v>
      </c>
      <c r="F74" s="67" t="s">
        <v>70</v>
      </c>
      <c r="G74" s="67" t="s">
        <v>62</v>
      </c>
      <c r="H74" s="67" t="s">
        <v>98</v>
      </c>
      <c r="I74" s="71">
        <v>1</v>
      </c>
      <c r="J74" s="72">
        <v>17110</v>
      </c>
      <c r="K74" s="73">
        <v>0.05</v>
      </c>
      <c r="L74" s="72">
        <v>12500</v>
      </c>
      <c r="M74" s="68">
        <f t="shared" si="7"/>
        <v>16254.5</v>
      </c>
      <c r="N74" s="68">
        <f t="shared" si="8"/>
        <v>12500</v>
      </c>
      <c r="O74" s="68">
        <f t="shared" si="9"/>
        <v>3754.5</v>
      </c>
    </row>
    <row r="75" spans="1:15" x14ac:dyDescent="0.3">
      <c r="A75" s="67" t="s">
        <v>169</v>
      </c>
      <c r="B75" s="70">
        <v>45029</v>
      </c>
      <c r="C75" s="67">
        <f t="shared" si="5"/>
        <v>2023</v>
      </c>
      <c r="D75" s="67" t="str">
        <f t="shared" si="6"/>
        <v>04 Apr</v>
      </c>
      <c r="E75" s="67" t="s">
        <v>45</v>
      </c>
      <c r="F75" s="67" t="s">
        <v>69</v>
      </c>
      <c r="G75" s="67" t="s">
        <v>50</v>
      </c>
      <c r="H75" s="67" t="s">
        <v>93</v>
      </c>
      <c r="I75" s="71">
        <v>2</v>
      </c>
      <c r="J75" s="72">
        <v>54800</v>
      </c>
      <c r="K75" s="73">
        <v>0</v>
      </c>
      <c r="L75" s="72">
        <v>42000</v>
      </c>
      <c r="M75" s="68">
        <f t="shared" si="7"/>
        <v>109600</v>
      </c>
      <c r="N75" s="68">
        <f t="shared" si="8"/>
        <v>84000</v>
      </c>
      <c r="O75" s="68">
        <f t="shared" si="9"/>
        <v>25600</v>
      </c>
    </row>
    <row r="76" spans="1:15" x14ac:dyDescent="0.3">
      <c r="A76" s="67" t="s">
        <v>170</v>
      </c>
      <c r="B76" s="70">
        <v>45031</v>
      </c>
      <c r="C76" s="67">
        <f t="shared" si="5"/>
        <v>2023</v>
      </c>
      <c r="D76" s="67" t="str">
        <f t="shared" si="6"/>
        <v>04 Apr</v>
      </c>
      <c r="E76" s="67" t="s">
        <v>42</v>
      </c>
      <c r="F76" s="67" t="s">
        <v>71</v>
      </c>
      <c r="G76" s="67" t="s">
        <v>44</v>
      </c>
      <c r="H76" s="67" t="s">
        <v>89</v>
      </c>
      <c r="I76" s="71">
        <v>13</v>
      </c>
      <c r="J76" s="72">
        <v>710</v>
      </c>
      <c r="K76" s="73">
        <v>0.05</v>
      </c>
      <c r="L76" s="72">
        <v>380</v>
      </c>
      <c r="M76" s="68">
        <f t="shared" si="7"/>
        <v>8768.5</v>
      </c>
      <c r="N76" s="68">
        <f t="shared" si="8"/>
        <v>4940</v>
      </c>
      <c r="O76" s="68">
        <f t="shared" si="9"/>
        <v>3828.5</v>
      </c>
    </row>
    <row r="77" spans="1:15" x14ac:dyDescent="0.3">
      <c r="A77" s="67" t="s">
        <v>171</v>
      </c>
      <c r="B77" s="70">
        <v>45032</v>
      </c>
      <c r="C77" s="67">
        <f t="shared" si="5"/>
        <v>2023</v>
      </c>
      <c r="D77" s="67" t="str">
        <f t="shared" si="6"/>
        <v>04 Apr</v>
      </c>
      <c r="E77" s="67" t="s">
        <v>48</v>
      </c>
      <c r="F77" s="67" t="s">
        <v>69</v>
      </c>
      <c r="G77" s="67" t="s">
        <v>50</v>
      </c>
      <c r="H77" s="67" t="s">
        <v>98</v>
      </c>
      <c r="I77" s="71">
        <v>1</v>
      </c>
      <c r="J77" s="72">
        <v>54550</v>
      </c>
      <c r="K77" s="73">
        <v>0</v>
      </c>
      <c r="L77" s="72">
        <v>42000</v>
      </c>
      <c r="M77" s="68">
        <f t="shared" si="7"/>
        <v>54550</v>
      </c>
      <c r="N77" s="68">
        <f t="shared" si="8"/>
        <v>42000</v>
      </c>
      <c r="O77" s="68">
        <f t="shared" si="9"/>
        <v>12550</v>
      </c>
    </row>
    <row r="78" spans="1:15" x14ac:dyDescent="0.3">
      <c r="A78" s="67" t="s">
        <v>172</v>
      </c>
      <c r="B78" s="70">
        <v>45033</v>
      </c>
      <c r="C78" s="67">
        <f t="shared" si="5"/>
        <v>2023</v>
      </c>
      <c r="D78" s="67" t="str">
        <f t="shared" si="6"/>
        <v>04 Apr</v>
      </c>
      <c r="E78" s="67" t="s">
        <v>45</v>
      </c>
      <c r="F78" s="67" t="s">
        <v>71</v>
      </c>
      <c r="G78" s="67" t="s">
        <v>44</v>
      </c>
      <c r="H78" s="67" t="s">
        <v>87</v>
      </c>
      <c r="I78" s="71">
        <v>2</v>
      </c>
      <c r="J78" s="72">
        <v>720</v>
      </c>
      <c r="K78" s="73">
        <v>0</v>
      </c>
      <c r="L78" s="72">
        <v>380</v>
      </c>
      <c r="M78" s="68">
        <f t="shared" si="7"/>
        <v>1440</v>
      </c>
      <c r="N78" s="68">
        <f t="shared" si="8"/>
        <v>760</v>
      </c>
      <c r="O78" s="68">
        <f t="shared" si="9"/>
        <v>680</v>
      </c>
    </row>
    <row r="79" spans="1:15" x14ac:dyDescent="0.3">
      <c r="A79" s="67" t="s">
        <v>173</v>
      </c>
      <c r="B79" s="70">
        <v>45039</v>
      </c>
      <c r="C79" s="67">
        <f t="shared" si="5"/>
        <v>2023</v>
      </c>
      <c r="D79" s="67" t="str">
        <f t="shared" si="6"/>
        <v>04 Apr</v>
      </c>
      <c r="E79" s="67" t="s">
        <v>42</v>
      </c>
      <c r="F79" s="67" t="s">
        <v>70</v>
      </c>
      <c r="G79" s="67" t="s">
        <v>62</v>
      </c>
      <c r="H79" s="67" t="s">
        <v>89</v>
      </c>
      <c r="I79" s="71">
        <v>2</v>
      </c>
      <c r="J79" s="72">
        <v>18630</v>
      </c>
      <c r="K79" s="73">
        <v>0.05</v>
      </c>
      <c r="L79" s="72">
        <v>12500</v>
      </c>
      <c r="M79" s="68">
        <f t="shared" si="7"/>
        <v>35397</v>
      </c>
      <c r="N79" s="68">
        <f t="shared" si="8"/>
        <v>25000</v>
      </c>
      <c r="O79" s="68">
        <f t="shared" si="9"/>
        <v>10397</v>
      </c>
    </row>
    <row r="80" spans="1:15" x14ac:dyDescent="0.3">
      <c r="A80" s="67" t="s">
        <v>174</v>
      </c>
      <c r="B80" s="70">
        <v>45040</v>
      </c>
      <c r="C80" s="67">
        <f t="shared" si="5"/>
        <v>2023</v>
      </c>
      <c r="D80" s="67" t="str">
        <f t="shared" si="6"/>
        <v>04 Apr</v>
      </c>
      <c r="E80" s="67" t="s">
        <v>48</v>
      </c>
      <c r="F80" s="67" t="s">
        <v>71</v>
      </c>
      <c r="G80" s="67" t="s">
        <v>55</v>
      </c>
      <c r="H80" s="67" t="s">
        <v>98</v>
      </c>
      <c r="I80" s="71">
        <v>35</v>
      </c>
      <c r="J80" s="72">
        <v>430</v>
      </c>
      <c r="K80" s="73">
        <v>0</v>
      </c>
      <c r="L80" s="72">
        <v>250</v>
      </c>
      <c r="M80" s="68">
        <f t="shared" si="7"/>
        <v>15050</v>
      </c>
      <c r="N80" s="68">
        <f t="shared" si="8"/>
        <v>8750</v>
      </c>
      <c r="O80" s="68">
        <f t="shared" si="9"/>
        <v>6300</v>
      </c>
    </row>
    <row r="81" spans="1:15" x14ac:dyDescent="0.3">
      <c r="A81" s="67" t="s">
        <v>175</v>
      </c>
      <c r="B81" s="70">
        <v>45040</v>
      </c>
      <c r="C81" s="67">
        <f t="shared" si="5"/>
        <v>2023</v>
      </c>
      <c r="D81" s="67" t="str">
        <f t="shared" si="6"/>
        <v>04 Apr</v>
      </c>
      <c r="E81" s="67" t="s">
        <v>45</v>
      </c>
      <c r="F81" s="67" t="s">
        <v>71</v>
      </c>
      <c r="G81" s="67" t="s">
        <v>47</v>
      </c>
      <c r="H81" s="67" t="s">
        <v>87</v>
      </c>
      <c r="I81" s="71">
        <v>19</v>
      </c>
      <c r="J81" s="72">
        <v>310</v>
      </c>
      <c r="K81" s="73">
        <v>0.1</v>
      </c>
      <c r="L81" s="72">
        <v>160</v>
      </c>
      <c r="M81" s="68">
        <f t="shared" si="7"/>
        <v>5301</v>
      </c>
      <c r="N81" s="68">
        <f t="shared" si="8"/>
        <v>3040</v>
      </c>
      <c r="O81" s="68">
        <f t="shared" si="9"/>
        <v>2261</v>
      </c>
    </row>
    <row r="82" spans="1:15" x14ac:dyDescent="0.3">
      <c r="A82" s="67" t="s">
        <v>176</v>
      </c>
      <c r="B82" s="70">
        <v>45041</v>
      </c>
      <c r="C82" s="67">
        <f t="shared" si="5"/>
        <v>2023</v>
      </c>
      <c r="D82" s="67" t="str">
        <f t="shared" si="6"/>
        <v>04 Apr</v>
      </c>
      <c r="E82" s="67" t="s">
        <v>36</v>
      </c>
      <c r="F82" s="67" t="s">
        <v>69</v>
      </c>
      <c r="G82" s="67" t="s">
        <v>50</v>
      </c>
      <c r="H82" s="67" t="s">
        <v>114</v>
      </c>
      <c r="I82" s="71">
        <v>2</v>
      </c>
      <c r="J82" s="72">
        <v>56070</v>
      </c>
      <c r="K82" s="73">
        <v>0.15</v>
      </c>
      <c r="L82" s="72">
        <v>42000</v>
      </c>
      <c r="M82" s="68">
        <f t="shared" si="7"/>
        <v>95319</v>
      </c>
      <c r="N82" s="68">
        <f t="shared" si="8"/>
        <v>84000</v>
      </c>
      <c r="O82" s="68">
        <f t="shared" si="9"/>
        <v>11319</v>
      </c>
    </row>
    <row r="83" spans="1:15" x14ac:dyDescent="0.3">
      <c r="A83" s="67" t="s">
        <v>177</v>
      </c>
      <c r="B83" s="70">
        <v>45043</v>
      </c>
      <c r="C83" s="67">
        <f t="shared" si="5"/>
        <v>2023</v>
      </c>
      <c r="D83" s="67" t="str">
        <f t="shared" si="6"/>
        <v>04 Apr</v>
      </c>
      <c r="E83" s="67" t="s">
        <v>45</v>
      </c>
      <c r="F83" s="67" t="s">
        <v>69</v>
      </c>
      <c r="G83" s="67" t="s">
        <v>50</v>
      </c>
      <c r="H83" s="67" t="s">
        <v>93</v>
      </c>
      <c r="I83" s="71">
        <v>2</v>
      </c>
      <c r="J83" s="72">
        <v>55640</v>
      </c>
      <c r="K83" s="73">
        <v>0</v>
      </c>
      <c r="L83" s="72">
        <v>42000</v>
      </c>
      <c r="M83" s="68">
        <f t="shared" si="7"/>
        <v>111280</v>
      </c>
      <c r="N83" s="68">
        <f t="shared" si="8"/>
        <v>84000</v>
      </c>
      <c r="O83" s="68">
        <f t="shared" si="9"/>
        <v>27280</v>
      </c>
    </row>
    <row r="84" spans="1:15" x14ac:dyDescent="0.3">
      <c r="A84" s="67" t="s">
        <v>178</v>
      </c>
      <c r="B84" s="70">
        <v>45047</v>
      </c>
      <c r="C84" s="67">
        <f t="shared" si="5"/>
        <v>2023</v>
      </c>
      <c r="D84" s="67" t="str">
        <f t="shared" si="6"/>
        <v>05 May</v>
      </c>
      <c r="E84" s="67" t="s">
        <v>42</v>
      </c>
      <c r="F84" s="67" t="s">
        <v>66</v>
      </c>
      <c r="G84" s="67" t="s">
        <v>53</v>
      </c>
      <c r="H84" s="67" t="s">
        <v>89</v>
      </c>
      <c r="I84" s="71">
        <v>3</v>
      </c>
      <c r="J84" s="72">
        <v>11450</v>
      </c>
      <c r="K84" s="73">
        <v>0.05</v>
      </c>
      <c r="L84" s="72">
        <v>8000</v>
      </c>
      <c r="M84" s="68">
        <f t="shared" si="7"/>
        <v>32632.5</v>
      </c>
      <c r="N84" s="68">
        <f t="shared" si="8"/>
        <v>24000</v>
      </c>
      <c r="O84" s="68">
        <f t="shared" si="9"/>
        <v>8632.5</v>
      </c>
    </row>
    <row r="85" spans="1:15" x14ac:dyDescent="0.3">
      <c r="A85" s="67" t="s">
        <v>179</v>
      </c>
      <c r="B85" s="70">
        <v>45048</v>
      </c>
      <c r="C85" s="67">
        <f t="shared" si="5"/>
        <v>2023</v>
      </c>
      <c r="D85" s="67" t="str">
        <f t="shared" si="6"/>
        <v>05 May</v>
      </c>
      <c r="E85" s="67" t="s">
        <v>42</v>
      </c>
      <c r="F85" s="67" t="s">
        <v>69</v>
      </c>
      <c r="G85" s="67" t="s">
        <v>68</v>
      </c>
      <c r="H85" s="67" t="s">
        <v>89</v>
      </c>
      <c r="I85" s="71">
        <v>1</v>
      </c>
      <c r="J85" s="72">
        <v>3610</v>
      </c>
      <c r="K85" s="73">
        <v>0.05</v>
      </c>
      <c r="L85" s="72">
        <v>2000</v>
      </c>
      <c r="M85" s="68">
        <f t="shared" si="7"/>
        <v>3429.5</v>
      </c>
      <c r="N85" s="68">
        <f t="shared" si="8"/>
        <v>2000</v>
      </c>
      <c r="O85" s="68">
        <f t="shared" si="9"/>
        <v>1429.5</v>
      </c>
    </row>
    <row r="86" spans="1:15" x14ac:dyDescent="0.3">
      <c r="A86" s="67" t="s">
        <v>180</v>
      </c>
      <c r="B86" s="70">
        <v>45048</v>
      </c>
      <c r="C86" s="67">
        <f t="shared" si="5"/>
        <v>2023</v>
      </c>
      <c r="D86" s="67" t="str">
        <f t="shared" si="6"/>
        <v>05 May</v>
      </c>
      <c r="E86" s="67" t="s">
        <v>42</v>
      </c>
      <c r="F86" s="67" t="s">
        <v>70</v>
      </c>
      <c r="G86" s="67" t="s">
        <v>41</v>
      </c>
      <c r="H86" s="67" t="s">
        <v>112</v>
      </c>
      <c r="I86" s="71">
        <v>3</v>
      </c>
      <c r="J86" s="72">
        <v>6760</v>
      </c>
      <c r="K86" s="73">
        <v>0</v>
      </c>
      <c r="L86" s="72">
        <v>4200</v>
      </c>
      <c r="M86" s="68">
        <f t="shared" si="7"/>
        <v>20280</v>
      </c>
      <c r="N86" s="68">
        <f t="shared" si="8"/>
        <v>12600</v>
      </c>
      <c r="O86" s="68">
        <f t="shared" si="9"/>
        <v>7680</v>
      </c>
    </row>
    <row r="87" spans="1:15" x14ac:dyDescent="0.3">
      <c r="A87" s="67" t="s">
        <v>181</v>
      </c>
      <c r="B87" s="70">
        <v>45051</v>
      </c>
      <c r="C87" s="67">
        <f t="shared" si="5"/>
        <v>2023</v>
      </c>
      <c r="D87" s="67" t="str">
        <f t="shared" si="6"/>
        <v>05 May</v>
      </c>
      <c r="E87" s="67" t="s">
        <v>45</v>
      </c>
      <c r="F87" s="67" t="s">
        <v>69</v>
      </c>
      <c r="G87" s="67" t="s">
        <v>68</v>
      </c>
      <c r="H87" s="67" t="s">
        <v>93</v>
      </c>
      <c r="I87" s="71">
        <v>3</v>
      </c>
      <c r="J87" s="72">
        <v>3530</v>
      </c>
      <c r="K87" s="73">
        <v>0.05</v>
      </c>
      <c r="L87" s="72">
        <v>2000</v>
      </c>
      <c r="M87" s="68">
        <f t="shared" si="7"/>
        <v>10060.5</v>
      </c>
      <c r="N87" s="68">
        <f t="shared" si="8"/>
        <v>6000</v>
      </c>
      <c r="O87" s="68">
        <f t="shared" si="9"/>
        <v>4060.5</v>
      </c>
    </row>
    <row r="88" spans="1:15" x14ac:dyDescent="0.3">
      <c r="A88" s="67" t="s">
        <v>182</v>
      </c>
      <c r="B88" s="70">
        <v>45051</v>
      </c>
      <c r="C88" s="67">
        <f t="shared" si="5"/>
        <v>2023</v>
      </c>
      <c r="D88" s="67" t="str">
        <f t="shared" si="6"/>
        <v>05 May</v>
      </c>
      <c r="E88" s="67" t="s">
        <v>42</v>
      </c>
      <c r="F88" s="67" t="s">
        <v>70</v>
      </c>
      <c r="G88" s="67" t="s">
        <v>41</v>
      </c>
      <c r="H88" s="67" t="s">
        <v>89</v>
      </c>
      <c r="I88" s="71">
        <v>1</v>
      </c>
      <c r="J88" s="72">
        <v>6610</v>
      </c>
      <c r="K88" s="73">
        <v>0.05</v>
      </c>
      <c r="L88" s="72">
        <v>4200</v>
      </c>
      <c r="M88" s="68">
        <f t="shared" si="7"/>
        <v>6279.5</v>
      </c>
      <c r="N88" s="68">
        <f t="shared" si="8"/>
        <v>4200</v>
      </c>
      <c r="O88" s="68">
        <f t="shared" si="9"/>
        <v>2079.5</v>
      </c>
    </row>
    <row r="89" spans="1:15" x14ac:dyDescent="0.3">
      <c r="A89" s="67" t="s">
        <v>183</v>
      </c>
      <c r="B89" s="70">
        <v>45051</v>
      </c>
      <c r="C89" s="67">
        <f t="shared" si="5"/>
        <v>2023</v>
      </c>
      <c r="D89" s="67" t="str">
        <f t="shared" si="6"/>
        <v>05 May</v>
      </c>
      <c r="E89" s="67" t="s">
        <v>39</v>
      </c>
      <c r="F89" s="67" t="s">
        <v>71</v>
      </c>
      <c r="G89" s="67" t="s">
        <v>44</v>
      </c>
      <c r="H89" s="67" t="s">
        <v>100</v>
      </c>
      <c r="I89" s="71">
        <v>8</v>
      </c>
      <c r="J89" s="72">
        <v>670</v>
      </c>
      <c r="K89" s="73">
        <v>0.1</v>
      </c>
      <c r="L89" s="72">
        <v>380</v>
      </c>
      <c r="M89" s="68">
        <f t="shared" si="7"/>
        <v>4824</v>
      </c>
      <c r="N89" s="68">
        <f t="shared" si="8"/>
        <v>3040</v>
      </c>
      <c r="O89" s="68">
        <f t="shared" si="9"/>
        <v>1784</v>
      </c>
    </row>
    <row r="90" spans="1:15" x14ac:dyDescent="0.3">
      <c r="A90" s="67" t="s">
        <v>184</v>
      </c>
      <c r="B90" s="70">
        <v>45053</v>
      </c>
      <c r="C90" s="67">
        <f t="shared" si="5"/>
        <v>2023</v>
      </c>
      <c r="D90" s="67" t="str">
        <f t="shared" si="6"/>
        <v>05 May</v>
      </c>
      <c r="E90" s="67" t="s">
        <v>45</v>
      </c>
      <c r="F90" s="67" t="s">
        <v>69</v>
      </c>
      <c r="G90" s="67" t="s">
        <v>50</v>
      </c>
      <c r="H90" s="67" t="s">
        <v>93</v>
      </c>
      <c r="I90" s="71">
        <v>2</v>
      </c>
      <c r="J90" s="72">
        <v>55300</v>
      </c>
      <c r="K90" s="73">
        <v>0.05</v>
      </c>
      <c r="L90" s="72">
        <v>42000</v>
      </c>
      <c r="M90" s="68">
        <f t="shared" si="7"/>
        <v>105070</v>
      </c>
      <c r="N90" s="68">
        <f t="shared" si="8"/>
        <v>84000</v>
      </c>
      <c r="O90" s="68">
        <f t="shared" si="9"/>
        <v>21070</v>
      </c>
    </row>
    <row r="91" spans="1:15" x14ac:dyDescent="0.3">
      <c r="A91" s="67" t="s">
        <v>185</v>
      </c>
      <c r="B91" s="70">
        <v>45053</v>
      </c>
      <c r="C91" s="67">
        <f t="shared" si="5"/>
        <v>2023</v>
      </c>
      <c r="D91" s="67" t="str">
        <f t="shared" si="6"/>
        <v>05 May</v>
      </c>
      <c r="E91" s="67" t="s">
        <v>45</v>
      </c>
      <c r="F91" s="67" t="s">
        <v>66</v>
      </c>
      <c r="G91" s="67" t="s">
        <v>38</v>
      </c>
      <c r="H91" s="67" t="s">
        <v>93</v>
      </c>
      <c r="I91" s="71">
        <v>3</v>
      </c>
      <c r="J91" s="72">
        <v>13440</v>
      </c>
      <c r="K91" s="73">
        <v>0.05</v>
      </c>
      <c r="L91" s="72">
        <v>9500</v>
      </c>
      <c r="M91" s="68">
        <f t="shared" si="7"/>
        <v>38304</v>
      </c>
      <c r="N91" s="68">
        <f t="shared" si="8"/>
        <v>28500</v>
      </c>
      <c r="O91" s="68">
        <f t="shared" si="9"/>
        <v>9804</v>
      </c>
    </row>
    <row r="92" spans="1:15" x14ac:dyDescent="0.3">
      <c r="A92" s="67" t="s">
        <v>186</v>
      </c>
      <c r="B92" s="70">
        <v>45054</v>
      </c>
      <c r="C92" s="67">
        <f t="shared" si="5"/>
        <v>2023</v>
      </c>
      <c r="D92" s="67" t="str">
        <f t="shared" si="6"/>
        <v>05 May</v>
      </c>
      <c r="E92" s="67" t="s">
        <v>45</v>
      </c>
      <c r="F92" s="67" t="s">
        <v>71</v>
      </c>
      <c r="G92" s="67" t="s">
        <v>55</v>
      </c>
      <c r="H92" s="67" t="s">
        <v>87</v>
      </c>
      <c r="I92" s="71">
        <v>19</v>
      </c>
      <c r="J92" s="72">
        <v>460</v>
      </c>
      <c r="K92" s="73">
        <v>0</v>
      </c>
      <c r="L92" s="72">
        <v>250</v>
      </c>
      <c r="M92" s="68">
        <f t="shared" si="7"/>
        <v>8740</v>
      </c>
      <c r="N92" s="68">
        <f t="shared" si="8"/>
        <v>4750</v>
      </c>
      <c r="O92" s="68">
        <f t="shared" si="9"/>
        <v>3990</v>
      </c>
    </row>
    <row r="93" spans="1:15" x14ac:dyDescent="0.3">
      <c r="A93" s="67" t="s">
        <v>187</v>
      </c>
      <c r="B93" s="70">
        <v>45055</v>
      </c>
      <c r="C93" s="67">
        <f t="shared" si="5"/>
        <v>2023</v>
      </c>
      <c r="D93" s="67" t="str">
        <f t="shared" si="6"/>
        <v>05 May</v>
      </c>
      <c r="E93" s="67" t="s">
        <v>45</v>
      </c>
      <c r="F93" s="67" t="s">
        <v>71</v>
      </c>
      <c r="G93" s="67" t="s">
        <v>55</v>
      </c>
      <c r="H93" s="67" t="s">
        <v>87</v>
      </c>
      <c r="I93" s="71">
        <v>14</v>
      </c>
      <c r="J93" s="72">
        <v>460</v>
      </c>
      <c r="K93" s="73">
        <v>0.15</v>
      </c>
      <c r="L93" s="72">
        <v>250</v>
      </c>
      <c r="M93" s="68">
        <f t="shared" si="7"/>
        <v>5474</v>
      </c>
      <c r="N93" s="68">
        <f t="shared" si="8"/>
        <v>3500</v>
      </c>
      <c r="O93" s="68">
        <f t="shared" si="9"/>
        <v>1974</v>
      </c>
    </row>
    <row r="94" spans="1:15" x14ac:dyDescent="0.3">
      <c r="A94" s="67" t="s">
        <v>188</v>
      </c>
      <c r="B94" s="70">
        <v>45056</v>
      </c>
      <c r="C94" s="67">
        <f t="shared" si="5"/>
        <v>2023</v>
      </c>
      <c r="D94" s="67" t="str">
        <f t="shared" si="6"/>
        <v>05 May</v>
      </c>
      <c r="E94" s="67" t="s">
        <v>42</v>
      </c>
      <c r="F94" s="67" t="s">
        <v>71</v>
      </c>
      <c r="G94" s="67" t="s">
        <v>47</v>
      </c>
      <c r="H94" s="67" t="s">
        <v>112</v>
      </c>
      <c r="I94" s="71">
        <v>23</v>
      </c>
      <c r="J94" s="72">
        <v>300</v>
      </c>
      <c r="K94" s="73">
        <v>0</v>
      </c>
      <c r="L94" s="72">
        <v>160</v>
      </c>
      <c r="M94" s="68">
        <f t="shared" si="7"/>
        <v>6900</v>
      </c>
      <c r="N94" s="68">
        <f t="shared" si="8"/>
        <v>3680</v>
      </c>
      <c r="O94" s="68">
        <f t="shared" si="9"/>
        <v>3220</v>
      </c>
    </row>
    <row r="95" spans="1:15" x14ac:dyDescent="0.3">
      <c r="A95" s="67" t="s">
        <v>189</v>
      </c>
      <c r="B95" s="70">
        <v>45060</v>
      </c>
      <c r="C95" s="67">
        <f t="shared" si="5"/>
        <v>2023</v>
      </c>
      <c r="D95" s="67" t="str">
        <f t="shared" si="6"/>
        <v>05 May</v>
      </c>
      <c r="E95" s="67" t="s">
        <v>39</v>
      </c>
      <c r="F95" s="67" t="s">
        <v>71</v>
      </c>
      <c r="G95" s="67" t="s">
        <v>55</v>
      </c>
      <c r="H95" s="67" t="s">
        <v>107</v>
      </c>
      <c r="I95" s="71">
        <v>38</v>
      </c>
      <c r="J95" s="72">
        <v>430</v>
      </c>
      <c r="K95" s="73">
        <v>0</v>
      </c>
      <c r="L95" s="72">
        <v>250</v>
      </c>
      <c r="M95" s="68">
        <f t="shared" si="7"/>
        <v>16340</v>
      </c>
      <c r="N95" s="68">
        <f t="shared" si="8"/>
        <v>9500</v>
      </c>
      <c r="O95" s="68">
        <f t="shared" si="9"/>
        <v>6840</v>
      </c>
    </row>
    <row r="96" spans="1:15" x14ac:dyDescent="0.3">
      <c r="A96" s="67" t="s">
        <v>190</v>
      </c>
      <c r="B96" s="70">
        <v>45061</v>
      </c>
      <c r="C96" s="67">
        <f t="shared" si="5"/>
        <v>2023</v>
      </c>
      <c r="D96" s="67" t="str">
        <f t="shared" si="6"/>
        <v>05 May</v>
      </c>
      <c r="E96" s="67" t="s">
        <v>39</v>
      </c>
      <c r="F96" s="67" t="s">
        <v>71</v>
      </c>
      <c r="G96" s="67" t="s">
        <v>44</v>
      </c>
      <c r="H96" s="67" t="s">
        <v>100</v>
      </c>
      <c r="I96" s="71">
        <v>17</v>
      </c>
      <c r="J96" s="72">
        <v>680</v>
      </c>
      <c r="K96" s="73">
        <v>0.05</v>
      </c>
      <c r="L96" s="72">
        <v>380</v>
      </c>
      <c r="M96" s="68">
        <f t="shared" si="7"/>
        <v>10982</v>
      </c>
      <c r="N96" s="68">
        <f t="shared" si="8"/>
        <v>6460</v>
      </c>
      <c r="O96" s="68">
        <f t="shared" si="9"/>
        <v>4522</v>
      </c>
    </row>
    <row r="97" spans="1:15" x14ac:dyDescent="0.3">
      <c r="A97" s="67" t="s">
        <v>191</v>
      </c>
      <c r="B97" s="70">
        <v>45065</v>
      </c>
      <c r="C97" s="67">
        <f t="shared" si="5"/>
        <v>2023</v>
      </c>
      <c r="D97" s="67" t="str">
        <f t="shared" si="6"/>
        <v>05 May</v>
      </c>
      <c r="E97" s="67" t="s">
        <v>36</v>
      </c>
      <c r="F97" s="67" t="s">
        <v>66</v>
      </c>
      <c r="G97" s="67" t="s">
        <v>53</v>
      </c>
      <c r="H97" s="67" t="s">
        <v>91</v>
      </c>
      <c r="I97" s="71">
        <v>3</v>
      </c>
      <c r="J97" s="72">
        <v>10830</v>
      </c>
      <c r="K97" s="73">
        <v>0.05</v>
      </c>
      <c r="L97" s="72">
        <v>8000</v>
      </c>
      <c r="M97" s="68">
        <f t="shared" si="7"/>
        <v>30865.5</v>
      </c>
      <c r="N97" s="68">
        <f t="shared" si="8"/>
        <v>24000</v>
      </c>
      <c r="O97" s="68">
        <f t="shared" si="9"/>
        <v>6865.5</v>
      </c>
    </row>
    <row r="98" spans="1:15" x14ac:dyDescent="0.3">
      <c r="A98" s="67" t="s">
        <v>192</v>
      </c>
      <c r="B98" s="70">
        <v>45066</v>
      </c>
      <c r="C98" s="67">
        <f t="shared" si="5"/>
        <v>2023</v>
      </c>
      <c r="D98" s="67" t="str">
        <f t="shared" si="6"/>
        <v>05 May</v>
      </c>
      <c r="E98" s="67" t="s">
        <v>42</v>
      </c>
      <c r="F98" s="67" t="s">
        <v>69</v>
      </c>
      <c r="G98" s="67" t="s">
        <v>50</v>
      </c>
      <c r="H98" s="67" t="s">
        <v>89</v>
      </c>
      <c r="I98" s="71">
        <v>1</v>
      </c>
      <c r="J98" s="72">
        <v>54440</v>
      </c>
      <c r="K98" s="73">
        <v>0.15</v>
      </c>
      <c r="L98" s="72">
        <v>42000</v>
      </c>
      <c r="M98" s="68">
        <f t="shared" si="7"/>
        <v>46274</v>
      </c>
      <c r="N98" s="68">
        <f t="shared" si="8"/>
        <v>42000</v>
      </c>
      <c r="O98" s="68">
        <f t="shared" si="9"/>
        <v>4274</v>
      </c>
    </row>
    <row r="99" spans="1:15" x14ac:dyDescent="0.3">
      <c r="A99" s="67" t="s">
        <v>193</v>
      </c>
      <c r="B99" s="70">
        <v>45067</v>
      </c>
      <c r="C99" s="67">
        <f t="shared" si="5"/>
        <v>2023</v>
      </c>
      <c r="D99" s="67" t="str">
        <f t="shared" si="6"/>
        <v>05 May</v>
      </c>
      <c r="E99" s="67" t="s">
        <v>42</v>
      </c>
      <c r="F99" s="67" t="s">
        <v>71</v>
      </c>
      <c r="G99" s="67" t="s">
        <v>44</v>
      </c>
      <c r="H99" s="67" t="s">
        <v>89</v>
      </c>
      <c r="I99" s="71">
        <v>14</v>
      </c>
      <c r="J99" s="72">
        <v>720</v>
      </c>
      <c r="K99" s="73">
        <v>0.1</v>
      </c>
      <c r="L99" s="72">
        <v>380</v>
      </c>
      <c r="M99" s="68">
        <f t="shared" si="7"/>
        <v>9072</v>
      </c>
      <c r="N99" s="68">
        <f t="shared" si="8"/>
        <v>5320</v>
      </c>
      <c r="O99" s="68">
        <f t="shared" si="9"/>
        <v>3752</v>
      </c>
    </row>
    <row r="100" spans="1:15" x14ac:dyDescent="0.3">
      <c r="A100" s="67" t="s">
        <v>194</v>
      </c>
      <c r="B100" s="70">
        <v>45069</v>
      </c>
      <c r="C100" s="67">
        <f t="shared" si="5"/>
        <v>2023</v>
      </c>
      <c r="D100" s="67" t="str">
        <f t="shared" si="6"/>
        <v>05 May</v>
      </c>
      <c r="E100" s="67" t="s">
        <v>39</v>
      </c>
      <c r="F100" s="67" t="s">
        <v>69</v>
      </c>
      <c r="G100" s="67" t="s">
        <v>68</v>
      </c>
      <c r="H100" s="67" t="s">
        <v>107</v>
      </c>
      <c r="I100" s="71">
        <v>6</v>
      </c>
      <c r="J100" s="72">
        <v>3630</v>
      </c>
      <c r="K100" s="73">
        <v>0.1</v>
      </c>
      <c r="L100" s="72">
        <v>2000</v>
      </c>
      <c r="M100" s="68">
        <f t="shared" si="7"/>
        <v>19602</v>
      </c>
      <c r="N100" s="68">
        <f t="shared" si="8"/>
        <v>12000</v>
      </c>
      <c r="O100" s="68">
        <f t="shared" si="9"/>
        <v>7602</v>
      </c>
    </row>
    <row r="101" spans="1:15" x14ac:dyDescent="0.3">
      <c r="A101" s="67" t="s">
        <v>195</v>
      </c>
      <c r="B101" s="70">
        <v>45072</v>
      </c>
      <c r="C101" s="67">
        <f t="shared" si="5"/>
        <v>2023</v>
      </c>
      <c r="D101" s="67" t="str">
        <f t="shared" si="6"/>
        <v>05 May</v>
      </c>
      <c r="E101" s="67" t="s">
        <v>39</v>
      </c>
      <c r="F101" s="67" t="s">
        <v>71</v>
      </c>
      <c r="G101" s="67" t="s">
        <v>47</v>
      </c>
      <c r="H101" s="67" t="s">
        <v>100</v>
      </c>
      <c r="I101" s="71">
        <v>20</v>
      </c>
      <c r="J101" s="72">
        <v>300</v>
      </c>
      <c r="K101" s="73">
        <v>0.1</v>
      </c>
      <c r="L101" s="72">
        <v>160</v>
      </c>
      <c r="M101" s="68">
        <f t="shared" si="7"/>
        <v>5400</v>
      </c>
      <c r="N101" s="68">
        <f t="shared" si="8"/>
        <v>3200</v>
      </c>
      <c r="O101" s="68">
        <f t="shared" si="9"/>
        <v>2200</v>
      </c>
    </row>
    <row r="102" spans="1:15" x14ac:dyDescent="0.3">
      <c r="A102" s="67" t="s">
        <v>196</v>
      </c>
      <c r="B102" s="70">
        <v>45080</v>
      </c>
      <c r="C102" s="67">
        <f t="shared" si="5"/>
        <v>2023</v>
      </c>
      <c r="D102" s="67" t="str">
        <f t="shared" si="6"/>
        <v>06 Jun</v>
      </c>
      <c r="E102" s="67" t="s">
        <v>48</v>
      </c>
      <c r="F102" s="67" t="s">
        <v>70</v>
      </c>
      <c r="G102" s="67" t="s">
        <v>58</v>
      </c>
      <c r="H102" s="67" t="s">
        <v>95</v>
      </c>
      <c r="I102" s="71">
        <v>1</v>
      </c>
      <c r="J102" s="72">
        <v>9360</v>
      </c>
      <c r="K102" s="73">
        <v>0</v>
      </c>
      <c r="L102" s="72">
        <v>6000</v>
      </c>
      <c r="M102" s="68">
        <f t="shared" si="7"/>
        <v>9360</v>
      </c>
      <c r="N102" s="68">
        <f t="shared" si="8"/>
        <v>6000</v>
      </c>
      <c r="O102" s="68">
        <f t="shared" si="9"/>
        <v>3360</v>
      </c>
    </row>
    <row r="103" spans="1:15" x14ac:dyDescent="0.3">
      <c r="A103" s="67" t="s">
        <v>197</v>
      </c>
      <c r="B103" s="70">
        <v>45081</v>
      </c>
      <c r="C103" s="67">
        <f t="shared" si="5"/>
        <v>2023</v>
      </c>
      <c r="D103" s="67" t="str">
        <f t="shared" si="6"/>
        <v>06 Jun</v>
      </c>
      <c r="E103" s="67" t="s">
        <v>39</v>
      </c>
      <c r="F103" s="67" t="s">
        <v>71</v>
      </c>
      <c r="G103" s="67" t="s">
        <v>47</v>
      </c>
      <c r="H103" s="67" t="s">
        <v>107</v>
      </c>
      <c r="I103" s="71">
        <v>24</v>
      </c>
      <c r="J103" s="72">
        <v>310</v>
      </c>
      <c r="K103" s="73">
        <v>0.05</v>
      </c>
      <c r="L103" s="72">
        <v>160</v>
      </c>
      <c r="M103" s="68">
        <f t="shared" si="7"/>
        <v>7068</v>
      </c>
      <c r="N103" s="68">
        <f t="shared" si="8"/>
        <v>3840</v>
      </c>
      <c r="O103" s="68">
        <f t="shared" si="9"/>
        <v>3228</v>
      </c>
    </row>
    <row r="104" spans="1:15" x14ac:dyDescent="0.3">
      <c r="A104" s="67" t="s">
        <v>198</v>
      </c>
      <c r="B104" s="70">
        <v>45082</v>
      </c>
      <c r="C104" s="67">
        <f t="shared" si="5"/>
        <v>2023</v>
      </c>
      <c r="D104" s="67" t="str">
        <f t="shared" si="6"/>
        <v>06 Jun</v>
      </c>
      <c r="E104" s="67" t="s">
        <v>39</v>
      </c>
      <c r="F104" s="67" t="s">
        <v>69</v>
      </c>
      <c r="G104" s="67" t="s">
        <v>60</v>
      </c>
      <c r="H104" s="67" t="s">
        <v>100</v>
      </c>
      <c r="I104" s="71">
        <v>3</v>
      </c>
      <c r="J104" s="72">
        <v>24170</v>
      </c>
      <c r="K104" s="73">
        <v>0.1</v>
      </c>
      <c r="L104" s="72">
        <v>18000</v>
      </c>
      <c r="M104" s="68">
        <f t="shared" si="7"/>
        <v>65259</v>
      </c>
      <c r="N104" s="68">
        <f t="shared" si="8"/>
        <v>54000</v>
      </c>
      <c r="O104" s="68">
        <f t="shared" si="9"/>
        <v>11259</v>
      </c>
    </row>
    <row r="105" spans="1:15" x14ac:dyDescent="0.3">
      <c r="A105" s="67" t="s">
        <v>199</v>
      </c>
      <c r="B105" s="70">
        <v>45083</v>
      </c>
      <c r="C105" s="67">
        <f t="shared" si="5"/>
        <v>2023</v>
      </c>
      <c r="D105" s="67" t="str">
        <f t="shared" si="6"/>
        <v>06 Jun</v>
      </c>
      <c r="E105" s="67" t="s">
        <v>42</v>
      </c>
      <c r="F105" s="67" t="s">
        <v>71</v>
      </c>
      <c r="G105" s="67" t="s">
        <v>47</v>
      </c>
      <c r="H105" s="67" t="s">
        <v>89</v>
      </c>
      <c r="I105" s="71">
        <v>45</v>
      </c>
      <c r="J105" s="72">
        <v>290</v>
      </c>
      <c r="K105" s="73">
        <v>0.15</v>
      </c>
      <c r="L105" s="72">
        <v>160</v>
      </c>
      <c r="M105" s="68">
        <f t="shared" si="7"/>
        <v>11092.5</v>
      </c>
      <c r="N105" s="68">
        <f t="shared" si="8"/>
        <v>7200</v>
      </c>
      <c r="O105" s="68">
        <f t="shared" si="9"/>
        <v>3892.5</v>
      </c>
    </row>
    <row r="106" spans="1:15" x14ac:dyDescent="0.3">
      <c r="A106" s="67" t="s">
        <v>200</v>
      </c>
      <c r="B106" s="70">
        <v>45087</v>
      </c>
      <c r="C106" s="67">
        <f t="shared" si="5"/>
        <v>2023</v>
      </c>
      <c r="D106" s="67" t="str">
        <f t="shared" si="6"/>
        <v>06 Jun</v>
      </c>
      <c r="E106" s="67" t="s">
        <v>39</v>
      </c>
      <c r="F106" s="67" t="s">
        <v>69</v>
      </c>
      <c r="G106" s="67" t="s">
        <v>68</v>
      </c>
      <c r="H106" s="67" t="s">
        <v>107</v>
      </c>
      <c r="I106" s="71">
        <v>2</v>
      </c>
      <c r="J106" s="72">
        <v>3370</v>
      </c>
      <c r="K106" s="73">
        <v>0.15</v>
      </c>
      <c r="L106" s="72">
        <v>2000</v>
      </c>
      <c r="M106" s="68">
        <f t="shared" si="7"/>
        <v>5729</v>
      </c>
      <c r="N106" s="68">
        <f t="shared" si="8"/>
        <v>4000</v>
      </c>
      <c r="O106" s="68">
        <f t="shared" si="9"/>
        <v>1729</v>
      </c>
    </row>
    <row r="107" spans="1:15" x14ac:dyDescent="0.3">
      <c r="A107" s="67" t="s">
        <v>201</v>
      </c>
      <c r="B107" s="70">
        <v>45089</v>
      </c>
      <c r="C107" s="67">
        <f t="shared" si="5"/>
        <v>2023</v>
      </c>
      <c r="D107" s="67" t="str">
        <f t="shared" si="6"/>
        <v>06 Jun</v>
      </c>
      <c r="E107" s="67" t="s">
        <v>42</v>
      </c>
      <c r="F107" s="67" t="s">
        <v>69</v>
      </c>
      <c r="G107" s="67" t="s">
        <v>50</v>
      </c>
      <c r="H107" s="67" t="s">
        <v>112</v>
      </c>
      <c r="I107" s="71">
        <v>2</v>
      </c>
      <c r="J107" s="72">
        <v>56000</v>
      </c>
      <c r="K107" s="73">
        <v>0</v>
      </c>
      <c r="L107" s="72">
        <v>42000</v>
      </c>
      <c r="M107" s="68">
        <f t="shared" si="7"/>
        <v>112000</v>
      </c>
      <c r="N107" s="68">
        <f t="shared" si="8"/>
        <v>84000</v>
      </c>
      <c r="O107" s="68">
        <f t="shared" si="9"/>
        <v>28000</v>
      </c>
    </row>
    <row r="108" spans="1:15" x14ac:dyDescent="0.3">
      <c r="A108" s="67" t="s">
        <v>202</v>
      </c>
      <c r="B108" s="70">
        <v>45089</v>
      </c>
      <c r="C108" s="67">
        <f t="shared" si="5"/>
        <v>2023</v>
      </c>
      <c r="D108" s="67" t="str">
        <f t="shared" si="6"/>
        <v>06 Jun</v>
      </c>
      <c r="E108" s="67" t="s">
        <v>36</v>
      </c>
      <c r="F108" s="67" t="s">
        <v>70</v>
      </c>
      <c r="G108" s="67" t="s">
        <v>58</v>
      </c>
      <c r="H108" s="67" t="s">
        <v>114</v>
      </c>
      <c r="I108" s="71">
        <v>1</v>
      </c>
      <c r="J108" s="72">
        <v>8800</v>
      </c>
      <c r="K108" s="73">
        <v>0</v>
      </c>
      <c r="L108" s="72">
        <v>6000</v>
      </c>
      <c r="M108" s="68">
        <f t="shared" si="7"/>
        <v>8800</v>
      </c>
      <c r="N108" s="68">
        <f t="shared" si="8"/>
        <v>6000</v>
      </c>
      <c r="O108" s="68">
        <f t="shared" si="9"/>
        <v>2800</v>
      </c>
    </row>
    <row r="109" spans="1:15" x14ac:dyDescent="0.3">
      <c r="A109" s="67" t="s">
        <v>203</v>
      </c>
      <c r="B109" s="70">
        <v>45089</v>
      </c>
      <c r="C109" s="67">
        <f t="shared" si="5"/>
        <v>2023</v>
      </c>
      <c r="D109" s="67" t="str">
        <f t="shared" si="6"/>
        <v>06 Jun</v>
      </c>
      <c r="E109" s="67" t="s">
        <v>45</v>
      </c>
      <c r="F109" s="67" t="s">
        <v>69</v>
      </c>
      <c r="G109" s="67" t="s">
        <v>60</v>
      </c>
      <c r="H109" s="67" t="s">
        <v>93</v>
      </c>
      <c r="I109" s="71">
        <v>3</v>
      </c>
      <c r="J109" s="72">
        <v>24940</v>
      </c>
      <c r="K109" s="73">
        <v>0.05</v>
      </c>
      <c r="L109" s="72">
        <v>18000</v>
      </c>
      <c r="M109" s="68">
        <f t="shared" si="7"/>
        <v>71079</v>
      </c>
      <c r="N109" s="68">
        <f t="shared" si="8"/>
        <v>54000</v>
      </c>
      <c r="O109" s="68">
        <f t="shared" si="9"/>
        <v>17079</v>
      </c>
    </row>
    <row r="110" spans="1:15" x14ac:dyDescent="0.3">
      <c r="A110" s="67" t="s">
        <v>204</v>
      </c>
      <c r="B110" s="70">
        <v>45090</v>
      </c>
      <c r="C110" s="67">
        <f t="shared" si="5"/>
        <v>2023</v>
      </c>
      <c r="D110" s="67" t="str">
        <f t="shared" si="6"/>
        <v>06 Jun</v>
      </c>
      <c r="E110" s="67" t="s">
        <v>45</v>
      </c>
      <c r="F110" s="67" t="s">
        <v>66</v>
      </c>
      <c r="G110" s="67" t="s">
        <v>38</v>
      </c>
      <c r="H110" s="67" t="s">
        <v>87</v>
      </c>
      <c r="I110" s="71">
        <v>2</v>
      </c>
      <c r="J110" s="72">
        <v>14470</v>
      </c>
      <c r="K110" s="73">
        <v>0</v>
      </c>
      <c r="L110" s="72">
        <v>9500</v>
      </c>
      <c r="M110" s="68">
        <f t="shared" si="7"/>
        <v>28940</v>
      </c>
      <c r="N110" s="68">
        <f t="shared" si="8"/>
        <v>19000</v>
      </c>
      <c r="O110" s="68">
        <f t="shared" si="9"/>
        <v>9940</v>
      </c>
    </row>
    <row r="111" spans="1:15" x14ac:dyDescent="0.3">
      <c r="A111" s="67" t="s">
        <v>205</v>
      </c>
      <c r="B111" s="70">
        <v>45093</v>
      </c>
      <c r="C111" s="67">
        <f t="shared" si="5"/>
        <v>2023</v>
      </c>
      <c r="D111" s="67" t="str">
        <f t="shared" si="6"/>
        <v>06 Jun</v>
      </c>
      <c r="E111" s="67" t="s">
        <v>42</v>
      </c>
      <c r="F111" s="67" t="s">
        <v>71</v>
      </c>
      <c r="G111" s="67" t="s">
        <v>55</v>
      </c>
      <c r="H111" s="67" t="s">
        <v>89</v>
      </c>
      <c r="I111" s="71">
        <v>32</v>
      </c>
      <c r="J111" s="72">
        <v>470</v>
      </c>
      <c r="K111" s="73">
        <v>0.05</v>
      </c>
      <c r="L111" s="72">
        <v>250</v>
      </c>
      <c r="M111" s="68">
        <f t="shared" si="7"/>
        <v>14288</v>
      </c>
      <c r="N111" s="68">
        <f t="shared" si="8"/>
        <v>8000</v>
      </c>
      <c r="O111" s="68">
        <f t="shared" si="9"/>
        <v>6288</v>
      </c>
    </row>
    <row r="112" spans="1:15" x14ac:dyDescent="0.3">
      <c r="A112" s="67" t="s">
        <v>206</v>
      </c>
      <c r="B112" s="70">
        <v>45094</v>
      </c>
      <c r="C112" s="67">
        <f t="shared" si="5"/>
        <v>2023</v>
      </c>
      <c r="D112" s="67" t="str">
        <f t="shared" si="6"/>
        <v>06 Jun</v>
      </c>
      <c r="E112" s="67" t="s">
        <v>48</v>
      </c>
      <c r="F112" s="67" t="s">
        <v>69</v>
      </c>
      <c r="G112" s="67" t="s">
        <v>50</v>
      </c>
      <c r="H112" s="67" t="s">
        <v>95</v>
      </c>
      <c r="I112" s="71">
        <v>1</v>
      </c>
      <c r="J112" s="72">
        <v>54290</v>
      </c>
      <c r="K112" s="73">
        <v>0.05</v>
      </c>
      <c r="L112" s="72">
        <v>42000</v>
      </c>
      <c r="M112" s="68">
        <f t="shared" si="7"/>
        <v>51575.5</v>
      </c>
      <c r="N112" s="68">
        <f t="shared" si="8"/>
        <v>42000</v>
      </c>
      <c r="O112" s="68">
        <f t="shared" si="9"/>
        <v>9575.5</v>
      </c>
    </row>
    <row r="113" spans="1:15" x14ac:dyDescent="0.3">
      <c r="A113" s="67" t="s">
        <v>207</v>
      </c>
      <c r="B113" s="70">
        <v>45098</v>
      </c>
      <c r="C113" s="67">
        <f t="shared" si="5"/>
        <v>2023</v>
      </c>
      <c r="D113" s="67" t="str">
        <f t="shared" si="6"/>
        <v>06 Jun</v>
      </c>
      <c r="E113" s="67" t="s">
        <v>45</v>
      </c>
      <c r="F113" s="67" t="s">
        <v>66</v>
      </c>
      <c r="G113" s="67" t="s">
        <v>38</v>
      </c>
      <c r="H113" s="67" t="s">
        <v>93</v>
      </c>
      <c r="I113" s="71">
        <v>1</v>
      </c>
      <c r="J113" s="72">
        <v>13900</v>
      </c>
      <c r="K113" s="73">
        <v>0.15</v>
      </c>
      <c r="L113" s="72">
        <v>9500</v>
      </c>
      <c r="M113" s="68">
        <f t="shared" si="7"/>
        <v>11815</v>
      </c>
      <c r="N113" s="68">
        <f t="shared" si="8"/>
        <v>9500</v>
      </c>
      <c r="O113" s="68">
        <f t="shared" si="9"/>
        <v>2315</v>
      </c>
    </row>
    <row r="114" spans="1:15" x14ac:dyDescent="0.3">
      <c r="A114" s="67" t="s">
        <v>208</v>
      </c>
      <c r="B114" s="70">
        <v>45100</v>
      </c>
      <c r="C114" s="67">
        <f t="shared" si="5"/>
        <v>2023</v>
      </c>
      <c r="D114" s="67" t="str">
        <f t="shared" si="6"/>
        <v>06 Jun</v>
      </c>
      <c r="E114" s="67" t="s">
        <v>42</v>
      </c>
      <c r="F114" s="67" t="s">
        <v>69</v>
      </c>
      <c r="G114" s="67" t="s">
        <v>60</v>
      </c>
      <c r="H114" s="67" t="s">
        <v>112</v>
      </c>
      <c r="I114" s="71">
        <v>2</v>
      </c>
      <c r="J114" s="72">
        <v>24100</v>
      </c>
      <c r="K114" s="73">
        <v>0.05</v>
      </c>
      <c r="L114" s="72">
        <v>18000</v>
      </c>
      <c r="M114" s="68">
        <f t="shared" si="7"/>
        <v>45790</v>
      </c>
      <c r="N114" s="68">
        <f t="shared" si="8"/>
        <v>36000</v>
      </c>
      <c r="O114" s="68">
        <f t="shared" si="9"/>
        <v>9790</v>
      </c>
    </row>
    <row r="115" spans="1:15" x14ac:dyDescent="0.3">
      <c r="A115" s="67" t="s">
        <v>209</v>
      </c>
      <c r="B115" s="70">
        <v>45103</v>
      </c>
      <c r="C115" s="67">
        <f t="shared" si="5"/>
        <v>2023</v>
      </c>
      <c r="D115" s="67" t="str">
        <f t="shared" si="6"/>
        <v>06 Jun</v>
      </c>
      <c r="E115" s="67" t="s">
        <v>36</v>
      </c>
      <c r="F115" s="67" t="s">
        <v>66</v>
      </c>
      <c r="G115" s="67" t="s">
        <v>53</v>
      </c>
      <c r="H115" s="67" t="s">
        <v>114</v>
      </c>
      <c r="I115" s="71">
        <v>1</v>
      </c>
      <c r="J115" s="72">
        <v>11420</v>
      </c>
      <c r="K115" s="73">
        <v>0</v>
      </c>
      <c r="L115" s="72">
        <v>8000</v>
      </c>
      <c r="M115" s="68">
        <f t="shared" si="7"/>
        <v>11420</v>
      </c>
      <c r="N115" s="68">
        <f t="shared" si="8"/>
        <v>8000</v>
      </c>
      <c r="O115" s="68">
        <f t="shared" si="9"/>
        <v>3420</v>
      </c>
    </row>
    <row r="116" spans="1:15" x14ac:dyDescent="0.3">
      <c r="A116" s="67" t="s">
        <v>210</v>
      </c>
      <c r="B116" s="70">
        <v>45103</v>
      </c>
      <c r="C116" s="67">
        <f t="shared" si="5"/>
        <v>2023</v>
      </c>
      <c r="D116" s="67" t="str">
        <f t="shared" si="6"/>
        <v>06 Jun</v>
      </c>
      <c r="E116" s="67" t="s">
        <v>45</v>
      </c>
      <c r="F116" s="67" t="s">
        <v>69</v>
      </c>
      <c r="G116" s="67" t="s">
        <v>68</v>
      </c>
      <c r="H116" s="67" t="s">
        <v>87</v>
      </c>
      <c r="I116" s="71">
        <v>3</v>
      </c>
      <c r="J116" s="72">
        <v>3420</v>
      </c>
      <c r="K116" s="73">
        <v>0.05</v>
      </c>
      <c r="L116" s="72">
        <v>2000</v>
      </c>
      <c r="M116" s="68">
        <f t="shared" si="7"/>
        <v>9747</v>
      </c>
      <c r="N116" s="68">
        <f t="shared" si="8"/>
        <v>6000</v>
      </c>
      <c r="O116" s="68">
        <f t="shared" si="9"/>
        <v>3747</v>
      </c>
    </row>
    <row r="117" spans="1:15" x14ac:dyDescent="0.3">
      <c r="A117" s="67" t="s">
        <v>211</v>
      </c>
      <c r="B117" s="70">
        <v>45104</v>
      </c>
      <c r="C117" s="67">
        <f t="shared" si="5"/>
        <v>2023</v>
      </c>
      <c r="D117" s="67" t="str">
        <f t="shared" si="6"/>
        <v>06 Jun</v>
      </c>
      <c r="E117" s="67" t="s">
        <v>42</v>
      </c>
      <c r="F117" s="67" t="s">
        <v>71</v>
      </c>
      <c r="G117" s="67" t="s">
        <v>44</v>
      </c>
      <c r="H117" s="67" t="s">
        <v>112</v>
      </c>
      <c r="I117" s="71">
        <v>18</v>
      </c>
      <c r="J117" s="72">
        <v>670</v>
      </c>
      <c r="K117" s="73">
        <v>0</v>
      </c>
      <c r="L117" s="72">
        <v>380</v>
      </c>
      <c r="M117" s="68">
        <f t="shared" si="7"/>
        <v>12060</v>
      </c>
      <c r="N117" s="68">
        <f t="shared" si="8"/>
        <v>6840</v>
      </c>
      <c r="O117" s="68">
        <f t="shared" si="9"/>
        <v>5220</v>
      </c>
    </row>
    <row r="118" spans="1:15" x14ac:dyDescent="0.3">
      <c r="A118" s="67" t="s">
        <v>212</v>
      </c>
      <c r="B118" s="70">
        <v>45105</v>
      </c>
      <c r="C118" s="67">
        <f t="shared" si="5"/>
        <v>2023</v>
      </c>
      <c r="D118" s="67" t="str">
        <f t="shared" si="6"/>
        <v>06 Jun</v>
      </c>
      <c r="E118" s="67" t="s">
        <v>42</v>
      </c>
      <c r="F118" s="67" t="s">
        <v>66</v>
      </c>
      <c r="G118" s="67" t="s">
        <v>38</v>
      </c>
      <c r="H118" s="67" t="s">
        <v>112</v>
      </c>
      <c r="I118" s="71">
        <v>1</v>
      </c>
      <c r="J118" s="72">
        <v>13710</v>
      </c>
      <c r="K118" s="73">
        <v>0</v>
      </c>
      <c r="L118" s="72">
        <v>9500</v>
      </c>
      <c r="M118" s="68">
        <f t="shared" si="7"/>
        <v>13710</v>
      </c>
      <c r="N118" s="68">
        <f t="shared" si="8"/>
        <v>9500</v>
      </c>
      <c r="O118" s="68">
        <f t="shared" si="9"/>
        <v>4210</v>
      </c>
    </row>
    <row r="119" spans="1:15" x14ac:dyDescent="0.3">
      <c r="A119" s="67" t="s">
        <v>213</v>
      </c>
      <c r="B119" s="70">
        <v>45105</v>
      </c>
      <c r="C119" s="67">
        <f t="shared" si="5"/>
        <v>2023</v>
      </c>
      <c r="D119" s="67" t="str">
        <f t="shared" si="6"/>
        <v>06 Jun</v>
      </c>
      <c r="E119" s="67" t="s">
        <v>48</v>
      </c>
      <c r="F119" s="67" t="s">
        <v>66</v>
      </c>
      <c r="G119" s="67" t="s">
        <v>65</v>
      </c>
      <c r="H119" s="67" t="s">
        <v>98</v>
      </c>
      <c r="I119" s="71">
        <v>2</v>
      </c>
      <c r="J119" s="72">
        <v>13810</v>
      </c>
      <c r="K119" s="73">
        <v>0</v>
      </c>
      <c r="L119" s="72">
        <v>9000</v>
      </c>
      <c r="M119" s="68">
        <f t="shared" si="7"/>
        <v>27620</v>
      </c>
      <c r="N119" s="68">
        <f t="shared" si="8"/>
        <v>18000</v>
      </c>
      <c r="O119" s="68">
        <f t="shared" si="9"/>
        <v>9620</v>
      </c>
    </row>
    <row r="120" spans="1:15" x14ac:dyDescent="0.3">
      <c r="A120" s="67" t="s">
        <v>214</v>
      </c>
      <c r="B120" s="70">
        <v>45108</v>
      </c>
      <c r="C120" s="67">
        <f t="shared" si="5"/>
        <v>2023</v>
      </c>
      <c r="D120" s="67" t="str">
        <f t="shared" si="6"/>
        <v>07 Jul</v>
      </c>
      <c r="E120" s="67" t="s">
        <v>42</v>
      </c>
      <c r="F120" s="67" t="s">
        <v>66</v>
      </c>
      <c r="G120" s="67" t="s">
        <v>38</v>
      </c>
      <c r="H120" s="67" t="s">
        <v>112</v>
      </c>
      <c r="I120" s="71">
        <v>3</v>
      </c>
      <c r="J120" s="72">
        <v>13360</v>
      </c>
      <c r="K120" s="73">
        <v>0</v>
      </c>
      <c r="L120" s="72">
        <v>9500</v>
      </c>
      <c r="M120" s="68">
        <f t="shared" si="7"/>
        <v>40080</v>
      </c>
      <c r="N120" s="68">
        <f t="shared" si="8"/>
        <v>28500</v>
      </c>
      <c r="O120" s="68">
        <f t="shared" si="9"/>
        <v>11580</v>
      </c>
    </row>
    <row r="121" spans="1:15" x14ac:dyDescent="0.3">
      <c r="A121" s="67" t="s">
        <v>215</v>
      </c>
      <c r="B121" s="70">
        <v>45113</v>
      </c>
      <c r="C121" s="67">
        <f t="shared" si="5"/>
        <v>2023</v>
      </c>
      <c r="D121" s="67" t="str">
        <f t="shared" si="6"/>
        <v>07 Jul</v>
      </c>
      <c r="E121" s="67" t="s">
        <v>45</v>
      </c>
      <c r="F121" s="67" t="s">
        <v>71</v>
      </c>
      <c r="G121" s="67" t="s">
        <v>55</v>
      </c>
      <c r="H121" s="67" t="s">
        <v>87</v>
      </c>
      <c r="I121" s="71">
        <v>40</v>
      </c>
      <c r="J121" s="72">
        <v>440</v>
      </c>
      <c r="K121" s="73">
        <v>0.05</v>
      </c>
      <c r="L121" s="72">
        <v>250</v>
      </c>
      <c r="M121" s="68">
        <f t="shared" si="7"/>
        <v>16720</v>
      </c>
      <c r="N121" s="68">
        <f t="shared" si="8"/>
        <v>10000</v>
      </c>
      <c r="O121" s="68">
        <f t="shared" si="9"/>
        <v>6720</v>
      </c>
    </row>
    <row r="122" spans="1:15" x14ac:dyDescent="0.3">
      <c r="A122" s="67" t="s">
        <v>216</v>
      </c>
      <c r="B122" s="70">
        <v>45113</v>
      </c>
      <c r="C122" s="67">
        <f t="shared" si="5"/>
        <v>2023</v>
      </c>
      <c r="D122" s="67" t="str">
        <f t="shared" si="6"/>
        <v>07 Jul</v>
      </c>
      <c r="E122" s="67" t="s">
        <v>42</v>
      </c>
      <c r="F122" s="67" t="s">
        <v>71</v>
      </c>
      <c r="G122" s="67" t="s">
        <v>44</v>
      </c>
      <c r="H122" s="67" t="s">
        <v>89</v>
      </c>
      <c r="I122" s="71">
        <v>17</v>
      </c>
      <c r="J122" s="72">
        <v>710</v>
      </c>
      <c r="K122" s="73">
        <v>0.1</v>
      </c>
      <c r="L122" s="72">
        <v>380</v>
      </c>
      <c r="M122" s="68">
        <f t="shared" si="7"/>
        <v>10863</v>
      </c>
      <c r="N122" s="68">
        <f t="shared" si="8"/>
        <v>6460</v>
      </c>
      <c r="O122" s="68">
        <f t="shared" si="9"/>
        <v>4403</v>
      </c>
    </row>
    <row r="123" spans="1:15" x14ac:dyDescent="0.3">
      <c r="A123" s="67" t="s">
        <v>217</v>
      </c>
      <c r="B123" s="70">
        <v>45115</v>
      </c>
      <c r="C123" s="67">
        <f t="shared" si="5"/>
        <v>2023</v>
      </c>
      <c r="D123" s="67" t="str">
        <f t="shared" si="6"/>
        <v>07 Jul</v>
      </c>
      <c r="E123" s="67" t="s">
        <v>45</v>
      </c>
      <c r="F123" s="67" t="s">
        <v>70</v>
      </c>
      <c r="G123" s="67" t="s">
        <v>62</v>
      </c>
      <c r="H123" s="67" t="s">
        <v>87</v>
      </c>
      <c r="I123" s="71">
        <v>1</v>
      </c>
      <c r="J123" s="72">
        <v>18090</v>
      </c>
      <c r="K123" s="73">
        <v>0</v>
      </c>
      <c r="L123" s="72">
        <v>12500</v>
      </c>
      <c r="M123" s="68">
        <f t="shared" si="7"/>
        <v>18090</v>
      </c>
      <c r="N123" s="68">
        <f t="shared" si="8"/>
        <v>12500</v>
      </c>
      <c r="O123" s="68">
        <f t="shared" si="9"/>
        <v>5590</v>
      </c>
    </row>
    <row r="124" spans="1:15" x14ac:dyDescent="0.3">
      <c r="A124" s="67" t="s">
        <v>218</v>
      </c>
      <c r="B124" s="70">
        <v>45121</v>
      </c>
      <c r="C124" s="67">
        <f t="shared" si="5"/>
        <v>2023</v>
      </c>
      <c r="D124" s="67" t="str">
        <f t="shared" si="6"/>
        <v>07 Jul</v>
      </c>
      <c r="E124" s="67" t="s">
        <v>39</v>
      </c>
      <c r="F124" s="67" t="s">
        <v>69</v>
      </c>
      <c r="G124" s="67" t="s">
        <v>50</v>
      </c>
      <c r="H124" s="67" t="s">
        <v>100</v>
      </c>
      <c r="I124" s="71">
        <v>2</v>
      </c>
      <c r="J124" s="72">
        <v>56950</v>
      </c>
      <c r="K124" s="73">
        <v>0</v>
      </c>
      <c r="L124" s="72">
        <v>42000</v>
      </c>
      <c r="M124" s="68">
        <f t="shared" si="7"/>
        <v>113900</v>
      </c>
      <c r="N124" s="68">
        <f t="shared" si="8"/>
        <v>84000</v>
      </c>
      <c r="O124" s="68">
        <f t="shared" si="9"/>
        <v>29900</v>
      </c>
    </row>
    <row r="125" spans="1:15" x14ac:dyDescent="0.3">
      <c r="A125" s="67" t="s">
        <v>219</v>
      </c>
      <c r="B125" s="70">
        <v>45122</v>
      </c>
      <c r="C125" s="67">
        <f t="shared" si="5"/>
        <v>2023</v>
      </c>
      <c r="D125" s="67" t="str">
        <f t="shared" si="6"/>
        <v>07 Jul</v>
      </c>
      <c r="E125" s="67" t="s">
        <v>36</v>
      </c>
      <c r="F125" s="67" t="s">
        <v>70</v>
      </c>
      <c r="G125" s="67" t="s">
        <v>58</v>
      </c>
      <c r="H125" s="67" t="s">
        <v>114</v>
      </c>
      <c r="I125" s="71">
        <v>5</v>
      </c>
      <c r="J125" s="72">
        <v>8630</v>
      </c>
      <c r="K125" s="73">
        <v>0.1</v>
      </c>
      <c r="L125" s="72">
        <v>6000</v>
      </c>
      <c r="M125" s="68">
        <f t="shared" si="7"/>
        <v>38835</v>
      </c>
      <c r="N125" s="68">
        <f t="shared" si="8"/>
        <v>30000</v>
      </c>
      <c r="O125" s="68">
        <f t="shared" si="9"/>
        <v>8835</v>
      </c>
    </row>
    <row r="126" spans="1:15" x14ac:dyDescent="0.3">
      <c r="A126" s="67" t="s">
        <v>220</v>
      </c>
      <c r="B126" s="70">
        <v>45122</v>
      </c>
      <c r="C126" s="67">
        <f t="shared" si="5"/>
        <v>2023</v>
      </c>
      <c r="D126" s="67" t="str">
        <f t="shared" si="6"/>
        <v>07 Jul</v>
      </c>
      <c r="E126" s="67" t="s">
        <v>48</v>
      </c>
      <c r="F126" s="67" t="s">
        <v>71</v>
      </c>
      <c r="G126" s="67" t="s">
        <v>47</v>
      </c>
      <c r="H126" s="67" t="s">
        <v>98</v>
      </c>
      <c r="I126" s="71">
        <v>35</v>
      </c>
      <c r="J126" s="72">
        <v>300</v>
      </c>
      <c r="K126" s="73">
        <v>0</v>
      </c>
      <c r="L126" s="72">
        <v>160</v>
      </c>
      <c r="M126" s="68">
        <f t="shared" si="7"/>
        <v>10500</v>
      </c>
      <c r="N126" s="68">
        <f t="shared" si="8"/>
        <v>5600</v>
      </c>
      <c r="O126" s="68">
        <f t="shared" si="9"/>
        <v>4900</v>
      </c>
    </row>
    <row r="127" spans="1:15" x14ac:dyDescent="0.3">
      <c r="A127" s="67" t="s">
        <v>221</v>
      </c>
      <c r="B127" s="70">
        <v>45123</v>
      </c>
      <c r="C127" s="67">
        <f t="shared" si="5"/>
        <v>2023</v>
      </c>
      <c r="D127" s="67" t="str">
        <f t="shared" si="6"/>
        <v>07 Jul</v>
      </c>
      <c r="E127" s="67" t="s">
        <v>45</v>
      </c>
      <c r="F127" s="67" t="s">
        <v>69</v>
      </c>
      <c r="G127" s="67" t="s">
        <v>50</v>
      </c>
      <c r="H127" s="67" t="s">
        <v>87</v>
      </c>
      <c r="I127" s="71">
        <v>2</v>
      </c>
      <c r="J127" s="72">
        <v>53910</v>
      </c>
      <c r="K127" s="73">
        <v>0</v>
      </c>
      <c r="L127" s="72">
        <v>42000</v>
      </c>
      <c r="M127" s="68">
        <f t="shared" si="7"/>
        <v>107820</v>
      </c>
      <c r="N127" s="68">
        <f t="shared" si="8"/>
        <v>84000</v>
      </c>
      <c r="O127" s="68">
        <f t="shared" si="9"/>
        <v>23820</v>
      </c>
    </row>
    <row r="128" spans="1:15" x14ac:dyDescent="0.3">
      <c r="A128" s="67" t="s">
        <v>222</v>
      </c>
      <c r="B128" s="70">
        <v>45123</v>
      </c>
      <c r="C128" s="67">
        <f t="shared" si="5"/>
        <v>2023</v>
      </c>
      <c r="D128" s="67" t="str">
        <f t="shared" si="6"/>
        <v>07 Jul</v>
      </c>
      <c r="E128" s="67" t="s">
        <v>48</v>
      </c>
      <c r="F128" s="67" t="s">
        <v>69</v>
      </c>
      <c r="G128" s="67" t="s">
        <v>60</v>
      </c>
      <c r="H128" s="67" t="s">
        <v>95</v>
      </c>
      <c r="I128" s="71">
        <v>3</v>
      </c>
      <c r="J128" s="72">
        <v>23100</v>
      </c>
      <c r="K128" s="73">
        <v>0</v>
      </c>
      <c r="L128" s="72">
        <v>18000</v>
      </c>
      <c r="M128" s="68">
        <f t="shared" si="7"/>
        <v>69300</v>
      </c>
      <c r="N128" s="68">
        <f t="shared" si="8"/>
        <v>54000</v>
      </c>
      <c r="O128" s="68">
        <f t="shared" si="9"/>
        <v>15300</v>
      </c>
    </row>
    <row r="129" spans="1:15" x14ac:dyDescent="0.3">
      <c r="A129" s="67" t="s">
        <v>223</v>
      </c>
      <c r="B129" s="70">
        <v>45124</v>
      </c>
      <c r="C129" s="67">
        <f t="shared" si="5"/>
        <v>2023</v>
      </c>
      <c r="D129" s="67" t="str">
        <f t="shared" si="6"/>
        <v>07 Jul</v>
      </c>
      <c r="E129" s="67" t="s">
        <v>42</v>
      </c>
      <c r="F129" s="67" t="s">
        <v>69</v>
      </c>
      <c r="G129" s="67" t="s">
        <v>68</v>
      </c>
      <c r="H129" s="67" t="s">
        <v>112</v>
      </c>
      <c r="I129" s="71">
        <v>2</v>
      </c>
      <c r="J129" s="72">
        <v>3450</v>
      </c>
      <c r="K129" s="73">
        <v>0</v>
      </c>
      <c r="L129" s="72">
        <v>2000</v>
      </c>
      <c r="M129" s="68">
        <f t="shared" si="7"/>
        <v>6900</v>
      </c>
      <c r="N129" s="68">
        <f t="shared" si="8"/>
        <v>4000</v>
      </c>
      <c r="O129" s="68">
        <f t="shared" si="9"/>
        <v>2900</v>
      </c>
    </row>
    <row r="130" spans="1:15" x14ac:dyDescent="0.3">
      <c r="A130" s="67" t="s">
        <v>224</v>
      </c>
      <c r="B130" s="70">
        <v>45124</v>
      </c>
      <c r="C130" s="67">
        <f t="shared" ref="C130:C193" si="10">YEAR(B130)</f>
        <v>2023</v>
      </c>
      <c r="D130" s="67" t="str">
        <f t="shared" ref="D130:D193" si="11">CHOOSE(MONTH(B130),"01 Jan","02 Feb","03 Mar","04 Apr","05 May","06 Jun","07 Jul","08 Aug","09 Sep","10 Oct","11 Nov","12 Dec")</f>
        <v>07 Jul</v>
      </c>
      <c r="E130" s="67" t="s">
        <v>42</v>
      </c>
      <c r="F130" s="67" t="s">
        <v>66</v>
      </c>
      <c r="G130" s="67" t="s">
        <v>38</v>
      </c>
      <c r="H130" s="67" t="s">
        <v>89</v>
      </c>
      <c r="I130" s="71">
        <v>1</v>
      </c>
      <c r="J130" s="72">
        <v>14650</v>
      </c>
      <c r="K130" s="73">
        <v>0</v>
      </c>
      <c r="L130" s="72">
        <v>9500</v>
      </c>
      <c r="M130" s="68">
        <f t="shared" ref="M130:M193" si="12">I130*J130*(1-K130)</f>
        <v>14650</v>
      </c>
      <c r="N130" s="68">
        <f t="shared" ref="N130:N193" si="13">I130*L130</f>
        <v>9500</v>
      </c>
      <c r="O130" s="68">
        <f t="shared" ref="O130:O193" si="14">M130-N130</f>
        <v>5150</v>
      </c>
    </row>
    <row r="131" spans="1:15" x14ac:dyDescent="0.3">
      <c r="A131" s="67" t="s">
        <v>225</v>
      </c>
      <c r="B131" s="70">
        <v>45126</v>
      </c>
      <c r="C131" s="67">
        <f t="shared" si="10"/>
        <v>2023</v>
      </c>
      <c r="D131" s="67" t="str">
        <f t="shared" si="11"/>
        <v>07 Jul</v>
      </c>
      <c r="E131" s="67" t="s">
        <v>36</v>
      </c>
      <c r="F131" s="67" t="s">
        <v>69</v>
      </c>
      <c r="G131" s="67" t="s">
        <v>68</v>
      </c>
      <c r="H131" s="67" t="s">
        <v>114</v>
      </c>
      <c r="I131" s="71">
        <v>1</v>
      </c>
      <c r="J131" s="72">
        <v>3420</v>
      </c>
      <c r="K131" s="73">
        <v>0</v>
      </c>
      <c r="L131" s="72">
        <v>2000</v>
      </c>
      <c r="M131" s="68">
        <f t="shared" si="12"/>
        <v>3420</v>
      </c>
      <c r="N131" s="68">
        <f t="shared" si="13"/>
        <v>2000</v>
      </c>
      <c r="O131" s="68">
        <f t="shared" si="14"/>
        <v>1420</v>
      </c>
    </row>
    <row r="132" spans="1:15" x14ac:dyDescent="0.3">
      <c r="A132" s="67" t="s">
        <v>226</v>
      </c>
      <c r="B132" s="70">
        <v>45127</v>
      </c>
      <c r="C132" s="67">
        <f t="shared" si="10"/>
        <v>2023</v>
      </c>
      <c r="D132" s="67" t="str">
        <f t="shared" si="11"/>
        <v>07 Jul</v>
      </c>
      <c r="E132" s="67" t="s">
        <v>48</v>
      </c>
      <c r="F132" s="67" t="s">
        <v>71</v>
      </c>
      <c r="G132" s="67" t="s">
        <v>44</v>
      </c>
      <c r="H132" s="67" t="s">
        <v>98</v>
      </c>
      <c r="I132" s="71">
        <v>12</v>
      </c>
      <c r="J132" s="72">
        <v>720</v>
      </c>
      <c r="K132" s="73">
        <v>0.05</v>
      </c>
      <c r="L132" s="72">
        <v>380</v>
      </c>
      <c r="M132" s="68">
        <f t="shared" si="12"/>
        <v>8208</v>
      </c>
      <c r="N132" s="68">
        <f t="shared" si="13"/>
        <v>4560</v>
      </c>
      <c r="O132" s="68">
        <f t="shared" si="14"/>
        <v>3648</v>
      </c>
    </row>
    <row r="133" spans="1:15" x14ac:dyDescent="0.3">
      <c r="A133" s="67" t="s">
        <v>227</v>
      </c>
      <c r="B133" s="70">
        <v>45129</v>
      </c>
      <c r="C133" s="67">
        <f t="shared" si="10"/>
        <v>2023</v>
      </c>
      <c r="D133" s="67" t="str">
        <f t="shared" si="11"/>
        <v>07 Jul</v>
      </c>
      <c r="E133" s="67" t="s">
        <v>45</v>
      </c>
      <c r="F133" s="67" t="s">
        <v>69</v>
      </c>
      <c r="G133" s="67" t="s">
        <v>60</v>
      </c>
      <c r="H133" s="67" t="s">
        <v>93</v>
      </c>
      <c r="I133" s="71">
        <v>1</v>
      </c>
      <c r="J133" s="72">
        <v>24000</v>
      </c>
      <c r="K133" s="73">
        <v>0.15</v>
      </c>
      <c r="L133" s="72">
        <v>18000</v>
      </c>
      <c r="M133" s="68">
        <f t="shared" si="12"/>
        <v>20400</v>
      </c>
      <c r="N133" s="68">
        <f t="shared" si="13"/>
        <v>18000</v>
      </c>
      <c r="O133" s="68">
        <f t="shared" si="14"/>
        <v>2400</v>
      </c>
    </row>
    <row r="134" spans="1:15" x14ac:dyDescent="0.3">
      <c r="A134" s="67" t="s">
        <v>228</v>
      </c>
      <c r="B134" s="70">
        <v>45132</v>
      </c>
      <c r="C134" s="67">
        <f t="shared" si="10"/>
        <v>2023</v>
      </c>
      <c r="D134" s="67" t="str">
        <f t="shared" si="11"/>
        <v>07 Jul</v>
      </c>
      <c r="E134" s="67" t="s">
        <v>42</v>
      </c>
      <c r="F134" s="67" t="s">
        <v>71</v>
      </c>
      <c r="G134" s="67" t="s">
        <v>55</v>
      </c>
      <c r="H134" s="67" t="s">
        <v>112</v>
      </c>
      <c r="I134" s="71">
        <v>11</v>
      </c>
      <c r="J134" s="72">
        <v>470</v>
      </c>
      <c r="K134" s="73">
        <v>0.1</v>
      </c>
      <c r="L134" s="72">
        <v>250</v>
      </c>
      <c r="M134" s="68">
        <f t="shared" si="12"/>
        <v>4653</v>
      </c>
      <c r="N134" s="68">
        <f t="shared" si="13"/>
        <v>2750</v>
      </c>
      <c r="O134" s="68">
        <f t="shared" si="14"/>
        <v>1903</v>
      </c>
    </row>
    <row r="135" spans="1:15" x14ac:dyDescent="0.3">
      <c r="A135" s="67" t="s">
        <v>229</v>
      </c>
      <c r="B135" s="70">
        <v>45135</v>
      </c>
      <c r="C135" s="67">
        <f t="shared" si="10"/>
        <v>2023</v>
      </c>
      <c r="D135" s="67" t="str">
        <f t="shared" si="11"/>
        <v>07 Jul</v>
      </c>
      <c r="E135" s="67" t="s">
        <v>48</v>
      </c>
      <c r="F135" s="67" t="s">
        <v>69</v>
      </c>
      <c r="G135" s="67" t="s">
        <v>68</v>
      </c>
      <c r="H135" s="67" t="s">
        <v>95</v>
      </c>
      <c r="I135" s="71">
        <v>1</v>
      </c>
      <c r="J135" s="72">
        <v>3380</v>
      </c>
      <c r="K135" s="73">
        <v>0</v>
      </c>
      <c r="L135" s="72">
        <v>2000</v>
      </c>
      <c r="M135" s="68">
        <f t="shared" si="12"/>
        <v>3380</v>
      </c>
      <c r="N135" s="68">
        <f t="shared" si="13"/>
        <v>2000</v>
      </c>
      <c r="O135" s="68">
        <f t="shared" si="14"/>
        <v>1380</v>
      </c>
    </row>
    <row r="136" spans="1:15" x14ac:dyDescent="0.3">
      <c r="A136" s="67" t="s">
        <v>230</v>
      </c>
      <c r="B136" s="70">
        <v>45142</v>
      </c>
      <c r="C136" s="67">
        <f t="shared" si="10"/>
        <v>2023</v>
      </c>
      <c r="D136" s="67" t="str">
        <f t="shared" si="11"/>
        <v>08 Aug</v>
      </c>
      <c r="E136" s="67" t="s">
        <v>39</v>
      </c>
      <c r="F136" s="67" t="s">
        <v>70</v>
      </c>
      <c r="G136" s="67" t="s">
        <v>62</v>
      </c>
      <c r="H136" s="67" t="s">
        <v>107</v>
      </c>
      <c r="I136" s="71">
        <v>3</v>
      </c>
      <c r="J136" s="72">
        <v>17260</v>
      </c>
      <c r="K136" s="73">
        <v>0.1</v>
      </c>
      <c r="L136" s="72">
        <v>12500</v>
      </c>
      <c r="M136" s="68">
        <f t="shared" si="12"/>
        <v>46602</v>
      </c>
      <c r="N136" s="68">
        <f t="shared" si="13"/>
        <v>37500</v>
      </c>
      <c r="O136" s="68">
        <f t="shared" si="14"/>
        <v>9102</v>
      </c>
    </row>
    <row r="137" spans="1:15" x14ac:dyDescent="0.3">
      <c r="A137" s="67" t="s">
        <v>231</v>
      </c>
      <c r="B137" s="70">
        <v>45143</v>
      </c>
      <c r="C137" s="67">
        <f t="shared" si="10"/>
        <v>2023</v>
      </c>
      <c r="D137" s="67" t="str">
        <f t="shared" si="11"/>
        <v>08 Aug</v>
      </c>
      <c r="E137" s="67" t="s">
        <v>45</v>
      </c>
      <c r="F137" s="67" t="s">
        <v>69</v>
      </c>
      <c r="G137" s="67" t="s">
        <v>60</v>
      </c>
      <c r="H137" s="67" t="s">
        <v>87</v>
      </c>
      <c r="I137" s="71">
        <v>3</v>
      </c>
      <c r="J137" s="72">
        <v>24760</v>
      </c>
      <c r="K137" s="73">
        <v>0</v>
      </c>
      <c r="L137" s="72">
        <v>18000</v>
      </c>
      <c r="M137" s="68">
        <f t="shared" si="12"/>
        <v>74280</v>
      </c>
      <c r="N137" s="68">
        <f t="shared" si="13"/>
        <v>54000</v>
      </c>
      <c r="O137" s="68">
        <f t="shared" si="14"/>
        <v>20280</v>
      </c>
    </row>
    <row r="138" spans="1:15" x14ac:dyDescent="0.3">
      <c r="A138" s="67" t="s">
        <v>232</v>
      </c>
      <c r="B138" s="70">
        <v>45143</v>
      </c>
      <c r="C138" s="67">
        <f t="shared" si="10"/>
        <v>2023</v>
      </c>
      <c r="D138" s="67" t="str">
        <f t="shared" si="11"/>
        <v>08 Aug</v>
      </c>
      <c r="E138" s="67" t="s">
        <v>42</v>
      </c>
      <c r="F138" s="67" t="s">
        <v>71</v>
      </c>
      <c r="G138" s="67" t="s">
        <v>44</v>
      </c>
      <c r="H138" s="67" t="s">
        <v>89</v>
      </c>
      <c r="I138" s="71">
        <v>18</v>
      </c>
      <c r="J138" s="72">
        <v>720</v>
      </c>
      <c r="K138" s="73">
        <v>0</v>
      </c>
      <c r="L138" s="72">
        <v>380</v>
      </c>
      <c r="M138" s="68">
        <f t="shared" si="12"/>
        <v>12960</v>
      </c>
      <c r="N138" s="68">
        <f t="shared" si="13"/>
        <v>6840</v>
      </c>
      <c r="O138" s="68">
        <f t="shared" si="14"/>
        <v>6120</v>
      </c>
    </row>
    <row r="139" spans="1:15" x14ac:dyDescent="0.3">
      <c r="A139" s="67" t="s">
        <v>233</v>
      </c>
      <c r="B139" s="70">
        <v>45146</v>
      </c>
      <c r="C139" s="67">
        <f t="shared" si="10"/>
        <v>2023</v>
      </c>
      <c r="D139" s="67" t="str">
        <f t="shared" si="11"/>
        <v>08 Aug</v>
      </c>
      <c r="E139" s="67" t="s">
        <v>36</v>
      </c>
      <c r="F139" s="67" t="s">
        <v>66</v>
      </c>
      <c r="G139" s="67" t="s">
        <v>53</v>
      </c>
      <c r="H139" s="67" t="s">
        <v>114</v>
      </c>
      <c r="I139" s="71">
        <v>1</v>
      </c>
      <c r="J139" s="72">
        <v>10670</v>
      </c>
      <c r="K139" s="73">
        <v>0</v>
      </c>
      <c r="L139" s="72">
        <v>8000</v>
      </c>
      <c r="M139" s="68">
        <f t="shared" si="12"/>
        <v>10670</v>
      </c>
      <c r="N139" s="68">
        <f t="shared" si="13"/>
        <v>8000</v>
      </c>
      <c r="O139" s="68">
        <f t="shared" si="14"/>
        <v>2670</v>
      </c>
    </row>
    <row r="140" spans="1:15" x14ac:dyDescent="0.3">
      <c r="A140" s="67" t="s">
        <v>234</v>
      </c>
      <c r="B140" s="70">
        <v>45146</v>
      </c>
      <c r="C140" s="67">
        <f t="shared" si="10"/>
        <v>2023</v>
      </c>
      <c r="D140" s="67" t="str">
        <f t="shared" si="11"/>
        <v>08 Aug</v>
      </c>
      <c r="E140" s="67" t="s">
        <v>45</v>
      </c>
      <c r="F140" s="67" t="s">
        <v>71</v>
      </c>
      <c r="G140" s="67" t="s">
        <v>44</v>
      </c>
      <c r="H140" s="67" t="s">
        <v>93</v>
      </c>
      <c r="I140" s="71">
        <v>16</v>
      </c>
      <c r="J140" s="72">
        <v>680</v>
      </c>
      <c r="K140" s="73">
        <v>0</v>
      </c>
      <c r="L140" s="72">
        <v>380</v>
      </c>
      <c r="M140" s="68">
        <f t="shared" si="12"/>
        <v>10880</v>
      </c>
      <c r="N140" s="68">
        <f t="shared" si="13"/>
        <v>6080</v>
      </c>
      <c r="O140" s="68">
        <f t="shared" si="14"/>
        <v>4800</v>
      </c>
    </row>
    <row r="141" spans="1:15" x14ac:dyDescent="0.3">
      <c r="A141" s="67" t="s">
        <v>235</v>
      </c>
      <c r="B141" s="70">
        <v>45147</v>
      </c>
      <c r="C141" s="67">
        <f t="shared" si="10"/>
        <v>2023</v>
      </c>
      <c r="D141" s="67" t="str">
        <f t="shared" si="11"/>
        <v>08 Aug</v>
      </c>
      <c r="E141" s="67" t="s">
        <v>36</v>
      </c>
      <c r="F141" s="67" t="s">
        <v>66</v>
      </c>
      <c r="G141" s="67" t="s">
        <v>38</v>
      </c>
      <c r="H141" s="67" t="s">
        <v>91</v>
      </c>
      <c r="I141" s="71">
        <v>1</v>
      </c>
      <c r="J141" s="72">
        <v>13880</v>
      </c>
      <c r="K141" s="73">
        <v>0.05</v>
      </c>
      <c r="L141" s="72">
        <v>9500</v>
      </c>
      <c r="M141" s="68">
        <f t="shared" si="12"/>
        <v>13186</v>
      </c>
      <c r="N141" s="68">
        <f t="shared" si="13"/>
        <v>9500</v>
      </c>
      <c r="O141" s="68">
        <f t="shared" si="14"/>
        <v>3686</v>
      </c>
    </row>
    <row r="142" spans="1:15" x14ac:dyDescent="0.3">
      <c r="A142" s="67" t="s">
        <v>236</v>
      </c>
      <c r="B142" s="70">
        <v>45147</v>
      </c>
      <c r="C142" s="67">
        <f t="shared" si="10"/>
        <v>2023</v>
      </c>
      <c r="D142" s="67" t="str">
        <f t="shared" si="11"/>
        <v>08 Aug</v>
      </c>
      <c r="E142" s="67" t="s">
        <v>45</v>
      </c>
      <c r="F142" s="67" t="s">
        <v>66</v>
      </c>
      <c r="G142" s="67" t="s">
        <v>53</v>
      </c>
      <c r="H142" s="67" t="s">
        <v>87</v>
      </c>
      <c r="I142" s="71">
        <v>3</v>
      </c>
      <c r="J142" s="72">
        <v>10510</v>
      </c>
      <c r="K142" s="73">
        <v>0.05</v>
      </c>
      <c r="L142" s="72">
        <v>8000</v>
      </c>
      <c r="M142" s="68">
        <f t="shared" si="12"/>
        <v>29953.5</v>
      </c>
      <c r="N142" s="68">
        <f t="shared" si="13"/>
        <v>24000</v>
      </c>
      <c r="O142" s="68">
        <f t="shared" si="14"/>
        <v>5953.5</v>
      </c>
    </row>
    <row r="143" spans="1:15" x14ac:dyDescent="0.3">
      <c r="A143" s="67" t="s">
        <v>237</v>
      </c>
      <c r="B143" s="70">
        <v>45150</v>
      </c>
      <c r="C143" s="67">
        <f t="shared" si="10"/>
        <v>2023</v>
      </c>
      <c r="D143" s="67" t="str">
        <f t="shared" si="11"/>
        <v>08 Aug</v>
      </c>
      <c r="E143" s="67" t="s">
        <v>42</v>
      </c>
      <c r="F143" s="67" t="s">
        <v>66</v>
      </c>
      <c r="G143" s="67" t="s">
        <v>65</v>
      </c>
      <c r="H143" s="67" t="s">
        <v>112</v>
      </c>
      <c r="I143" s="71">
        <v>1</v>
      </c>
      <c r="J143" s="72">
        <v>13770</v>
      </c>
      <c r="K143" s="73">
        <v>0</v>
      </c>
      <c r="L143" s="72">
        <v>9000</v>
      </c>
      <c r="M143" s="68">
        <f t="shared" si="12"/>
        <v>13770</v>
      </c>
      <c r="N143" s="68">
        <f t="shared" si="13"/>
        <v>9000</v>
      </c>
      <c r="O143" s="68">
        <f t="shared" si="14"/>
        <v>4770</v>
      </c>
    </row>
    <row r="144" spans="1:15" x14ac:dyDescent="0.3">
      <c r="A144" s="67" t="s">
        <v>238</v>
      </c>
      <c r="B144" s="70">
        <v>45150</v>
      </c>
      <c r="C144" s="67">
        <f t="shared" si="10"/>
        <v>2023</v>
      </c>
      <c r="D144" s="67" t="str">
        <f t="shared" si="11"/>
        <v>08 Aug</v>
      </c>
      <c r="E144" s="67" t="s">
        <v>45</v>
      </c>
      <c r="F144" s="67" t="s">
        <v>69</v>
      </c>
      <c r="G144" s="67" t="s">
        <v>60</v>
      </c>
      <c r="H144" s="67" t="s">
        <v>93</v>
      </c>
      <c r="I144" s="71">
        <v>3</v>
      </c>
      <c r="J144" s="72">
        <v>24580</v>
      </c>
      <c r="K144" s="73">
        <v>0</v>
      </c>
      <c r="L144" s="72">
        <v>18000</v>
      </c>
      <c r="M144" s="68">
        <f t="shared" si="12"/>
        <v>73740</v>
      </c>
      <c r="N144" s="68">
        <f t="shared" si="13"/>
        <v>54000</v>
      </c>
      <c r="O144" s="68">
        <f t="shared" si="14"/>
        <v>19740</v>
      </c>
    </row>
    <row r="145" spans="1:15" x14ac:dyDescent="0.3">
      <c r="A145" s="67" t="s">
        <v>239</v>
      </c>
      <c r="B145" s="70">
        <v>45153</v>
      </c>
      <c r="C145" s="67">
        <f t="shared" si="10"/>
        <v>2023</v>
      </c>
      <c r="D145" s="67" t="str">
        <f t="shared" si="11"/>
        <v>08 Aug</v>
      </c>
      <c r="E145" s="67" t="s">
        <v>42</v>
      </c>
      <c r="F145" s="67" t="s">
        <v>69</v>
      </c>
      <c r="G145" s="67" t="s">
        <v>50</v>
      </c>
      <c r="H145" s="67" t="s">
        <v>112</v>
      </c>
      <c r="I145" s="71">
        <v>1</v>
      </c>
      <c r="J145" s="72">
        <v>52580</v>
      </c>
      <c r="K145" s="73">
        <v>0.1</v>
      </c>
      <c r="L145" s="72">
        <v>42000</v>
      </c>
      <c r="M145" s="68">
        <f t="shared" si="12"/>
        <v>47322</v>
      </c>
      <c r="N145" s="68">
        <f t="shared" si="13"/>
        <v>42000</v>
      </c>
      <c r="O145" s="68">
        <f t="shared" si="14"/>
        <v>5322</v>
      </c>
    </row>
    <row r="146" spans="1:15" x14ac:dyDescent="0.3">
      <c r="A146" s="67" t="s">
        <v>240</v>
      </c>
      <c r="B146" s="70">
        <v>45155</v>
      </c>
      <c r="C146" s="67">
        <f t="shared" si="10"/>
        <v>2023</v>
      </c>
      <c r="D146" s="67" t="str">
        <f t="shared" si="11"/>
        <v>08 Aug</v>
      </c>
      <c r="E146" s="67" t="s">
        <v>45</v>
      </c>
      <c r="F146" s="67" t="s">
        <v>66</v>
      </c>
      <c r="G146" s="67" t="s">
        <v>65</v>
      </c>
      <c r="H146" s="67" t="s">
        <v>93</v>
      </c>
      <c r="I146" s="71">
        <v>3</v>
      </c>
      <c r="J146" s="72">
        <v>13030</v>
      </c>
      <c r="K146" s="73">
        <v>0.05</v>
      </c>
      <c r="L146" s="72">
        <v>9000</v>
      </c>
      <c r="M146" s="68">
        <f t="shared" si="12"/>
        <v>37135.5</v>
      </c>
      <c r="N146" s="68">
        <f t="shared" si="13"/>
        <v>27000</v>
      </c>
      <c r="O146" s="68">
        <f t="shared" si="14"/>
        <v>10135.5</v>
      </c>
    </row>
    <row r="147" spans="1:15" x14ac:dyDescent="0.3">
      <c r="A147" s="67" t="s">
        <v>241</v>
      </c>
      <c r="B147" s="70">
        <v>45156</v>
      </c>
      <c r="C147" s="67">
        <f t="shared" si="10"/>
        <v>2023</v>
      </c>
      <c r="D147" s="67" t="str">
        <f t="shared" si="11"/>
        <v>08 Aug</v>
      </c>
      <c r="E147" s="67" t="s">
        <v>42</v>
      </c>
      <c r="F147" s="67" t="s">
        <v>70</v>
      </c>
      <c r="G147" s="67" t="s">
        <v>58</v>
      </c>
      <c r="H147" s="67" t="s">
        <v>89</v>
      </c>
      <c r="I147" s="71">
        <v>2</v>
      </c>
      <c r="J147" s="72">
        <v>9100</v>
      </c>
      <c r="K147" s="73">
        <v>0</v>
      </c>
      <c r="L147" s="72">
        <v>6000</v>
      </c>
      <c r="M147" s="68">
        <f t="shared" si="12"/>
        <v>18200</v>
      </c>
      <c r="N147" s="68">
        <f t="shared" si="13"/>
        <v>12000</v>
      </c>
      <c r="O147" s="68">
        <f t="shared" si="14"/>
        <v>6200</v>
      </c>
    </row>
    <row r="148" spans="1:15" x14ac:dyDescent="0.3">
      <c r="A148" s="67" t="s">
        <v>242</v>
      </c>
      <c r="B148" s="70">
        <v>45156</v>
      </c>
      <c r="C148" s="67">
        <f t="shared" si="10"/>
        <v>2023</v>
      </c>
      <c r="D148" s="67" t="str">
        <f t="shared" si="11"/>
        <v>08 Aug</v>
      </c>
      <c r="E148" s="67" t="s">
        <v>42</v>
      </c>
      <c r="F148" s="67" t="s">
        <v>70</v>
      </c>
      <c r="G148" s="67" t="s">
        <v>58</v>
      </c>
      <c r="H148" s="67" t="s">
        <v>112</v>
      </c>
      <c r="I148" s="71">
        <v>5</v>
      </c>
      <c r="J148" s="72">
        <v>8860</v>
      </c>
      <c r="K148" s="73">
        <v>0.1</v>
      </c>
      <c r="L148" s="72">
        <v>6000</v>
      </c>
      <c r="M148" s="68">
        <f t="shared" si="12"/>
        <v>39870</v>
      </c>
      <c r="N148" s="68">
        <f t="shared" si="13"/>
        <v>30000</v>
      </c>
      <c r="O148" s="68">
        <f t="shared" si="14"/>
        <v>9870</v>
      </c>
    </row>
    <row r="149" spans="1:15" x14ac:dyDescent="0.3">
      <c r="A149" s="67" t="s">
        <v>243</v>
      </c>
      <c r="B149" s="70">
        <v>45157</v>
      </c>
      <c r="C149" s="67">
        <f t="shared" si="10"/>
        <v>2023</v>
      </c>
      <c r="D149" s="67" t="str">
        <f t="shared" si="11"/>
        <v>08 Aug</v>
      </c>
      <c r="E149" s="67" t="s">
        <v>42</v>
      </c>
      <c r="F149" s="67" t="s">
        <v>69</v>
      </c>
      <c r="G149" s="67" t="s">
        <v>68</v>
      </c>
      <c r="H149" s="67" t="s">
        <v>89</v>
      </c>
      <c r="I149" s="71">
        <v>1</v>
      </c>
      <c r="J149" s="72">
        <v>3510</v>
      </c>
      <c r="K149" s="73">
        <v>0.05</v>
      </c>
      <c r="L149" s="72">
        <v>2000</v>
      </c>
      <c r="M149" s="68">
        <f t="shared" si="12"/>
        <v>3334.5</v>
      </c>
      <c r="N149" s="68">
        <f t="shared" si="13"/>
        <v>2000</v>
      </c>
      <c r="O149" s="68">
        <f t="shared" si="14"/>
        <v>1334.5</v>
      </c>
    </row>
    <row r="150" spans="1:15" x14ac:dyDescent="0.3">
      <c r="A150" s="67" t="s">
        <v>244</v>
      </c>
      <c r="B150" s="70">
        <v>45158</v>
      </c>
      <c r="C150" s="67">
        <f t="shared" si="10"/>
        <v>2023</v>
      </c>
      <c r="D150" s="67" t="str">
        <f t="shared" si="11"/>
        <v>08 Aug</v>
      </c>
      <c r="E150" s="67" t="s">
        <v>36</v>
      </c>
      <c r="F150" s="67" t="s">
        <v>69</v>
      </c>
      <c r="G150" s="67" t="s">
        <v>60</v>
      </c>
      <c r="H150" s="67" t="s">
        <v>91</v>
      </c>
      <c r="I150" s="71">
        <v>1</v>
      </c>
      <c r="J150" s="72">
        <v>25190</v>
      </c>
      <c r="K150" s="73">
        <v>0.05</v>
      </c>
      <c r="L150" s="72">
        <v>18000</v>
      </c>
      <c r="M150" s="68">
        <f t="shared" si="12"/>
        <v>23930.5</v>
      </c>
      <c r="N150" s="68">
        <f t="shared" si="13"/>
        <v>18000</v>
      </c>
      <c r="O150" s="68">
        <f t="shared" si="14"/>
        <v>5930.5</v>
      </c>
    </row>
    <row r="151" spans="1:15" x14ac:dyDescent="0.3">
      <c r="A151" s="67" t="s">
        <v>245</v>
      </c>
      <c r="B151" s="70">
        <v>45160</v>
      </c>
      <c r="C151" s="67">
        <f t="shared" si="10"/>
        <v>2023</v>
      </c>
      <c r="D151" s="67" t="str">
        <f t="shared" si="11"/>
        <v>08 Aug</v>
      </c>
      <c r="E151" s="67" t="s">
        <v>36</v>
      </c>
      <c r="F151" s="67" t="s">
        <v>70</v>
      </c>
      <c r="G151" s="67" t="s">
        <v>62</v>
      </c>
      <c r="H151" s="67" t="s">
        <v>114</v>
      </c>
      <c r="I151" s="71">
        <v>1</v>
      </c>
      <c r="J151" s="72">
        <v>18260</v>
      </c>
      <c r="K151" s="73">
        <v>0</v>
      </c>
      <c r="L151" s="72">
        <v>12500</v>
      </c>
      <c r="M151" s="68">
        <f t="shared" si="12"/>
        <v>18260</v>
      </c>
      <c r="N151" s="68">
        <f t="shared" si="13"/>
        <v>12500</v>
      </c>
      <c r="O151" s="68">
        <f t="shared" si="14"/>
        <v>5760</v>
      </c>
    </row>
    <row r="152" spans="1:15" x14ac:dyDescent="0.3">
      <c r="A152" s="67" t="s">
        <v>246</v>
      </c>
      <c r="B152" s="70">
        <v>45164</v>
      </c>
      <c r="C152" s="67">
        <f t="shared" si="10"/>
        <v>2023</v>
      </c>
      <c r="D152" s="67" t="str">
        <f t="shared" si="11"/>
        <v>08 Aug</v>
      </c>
      <c r="E152" s="67" t="s">
        <v>45</v>
      </c>
      <c r="F152" s="67" t="s">
        <v>71</v>
      </c>
      <c r="G152" s="67" t="s">
        <v>44</v>
      </c>
      <c r="H152" s="67" t="s">
        <v>93</v>
      </c>
      <c r="I152" s="71">
        <v>11</v>
      </c>
      <c r="J152" s="72">
        <v>710</v>
      </c>
      <c r="K152" s="73">
        <v>0.1</v>
      </c>
      <c r="L152" s="72">
        <v>380</v>
      </c>
      <c r="M152" s="68">
        <f t="shared" si="12"/>
        <v>7029</v>
      </c>
      <c r="N152" s="68">
        <f t="shared" si="13"/>
        <v>4180</v>
      </c>
      <c r="O152" s="68">
        <f t="shared" si="14"/>
        <v>2849</v>
      </c>
    </row>
    <row r="153" spans="1:15" x14ac:dyDescent="0.3">
      <c r="A153" s="67" t="s">
        <v>247</v>
      </c>
      <c r="B153" s="70">
        <v>45166</v>
      </c>
      <c r="C153" s="67">
        <f t="shared" si="10"/>
        <v>2023</v>
      </c>
      <c r="D153" s="67" t="str">
        <f t="shared" si="11"/>
        <v>08 Aug</v>
      </c>
      <c r="E153" s="67" t="s">
        <v>42</v>
      </c>
      <c r="F153" s="67" t="s">
        <v>71</v>
      </c>
      <c r="G153" s="67" t="s">
        <v>47</v>
      </c>
      <c r="H153" s="67" t="s">
        <v>89</v>
      </c>
      <c r="I153" s="71">
        <v>12</v>
      </c>
      <c r="J153" s="72">
        <v>300</v>
      </c>
      <c r="K153" s="73">
        <v>0</v>
      </c>
      <c r="L153" s="72">
        <v>160</v>
      </c>
      <c r="M153" s="68">
        <f t="shared" si="12"/>
        <v>3600</v>
      </c>
      <c r="N153" s="68">
        <f t="shared" si="13"/>
        <v>1920</v>
      </c>
      <c r="O153" s="68">
        <f t="shared" si="14"/>
        <v>1680</v>
      </c>
    </row>
    <row r="154" spans="1:15" x14ac:dyDescent="0.3">
      <c r="A154" s="67" t="s">
        <v>248</v>
      </c>
      <c r="B154" s="70">
        <v>45170</v>
      </c>
      <c r="C154" s="67">
        <f t="shared" si="10"/>
        <v>2023</v>
      </c>
      <c r="D154" s="67" t="str">
        <f t="shared" si="11"/>
        <v>09 Sep</v>
      </c>
      <c r="E154" s="67" t="s">
        <v>42</v>
      </c>
      <c r="F154" s="67" t="s">
        <v>71</v>
      </c>
      <c r="G154" s="67" t="s">
        <v>47</v>
      </c>
      <c r="H154" s="67" t="s">
        <v>89</v>
      </c>
      <c r="I154" s="71">
        <v>38</v>
      </c>
      <c r="J154" s="72">
        <v>300</v>
      </c>
      <c r="K154" s="73">
        <v>0</v>
      </c>
      <c r="L154" s="72">
        <v>160</v>
      </c>
      <c r="M154" s="68">
        <f t="shared" si="12"/>
        <v>11400</v>
      </c>
      <c r="N154" s="68">
        <f t="shared" si="13"/>
        <v>6080</v>
      </c>
      <c r="O154" s="68">
        <f t="shared" si="14"/>
        <v>5320</v>
      </c>
    </row>
    <row r="155" spans="1:15" x14ac:dyDescent="0.3">
      <c r="A155" s="67" t="s">
        <v>249</v>
      </c>
      <c r="B155" s="70">
        <v>45171</v>
      </c>
      <c r="C155" s="67">
        <f t="shared" si="10"/>
        <v>2023</v>
      </c>
      <c r="D155" s="67" t="str">
        <f t="shared" si="11"/>
        <v>09 Sep</v>
      </c>
      <c r="E155" s="67" t="s">
        <v>42</v>
      </c>
      <c r="F155" s="67" t="s">
        <v>70</v>
      </c>
      <c r="G155" s="67" t="s">
        <v>58</v>
      </c>
      <c r="H155" s="67" t="s">
        <v>112</v>
      </c>
      <c r="I155" s="71">
        <v>3</v>
      </c>
      <c r="J155" s="72">
        <v>8590</v>
      </c>
      <c r="K155" s="73">
        <v>0</v>
      </c>
      <c r="L155" s="72">
        <v>6000</v>
      </c>
      <c r="M155" s="68">
        <f t="shared" si="12"/>
        <v>25770</v>
      </c>
      <c r="N155" s="68">
        <f t="shared" si="13"/>
        <v>18000</v>
      </c>
      <c r="O155" s="68">
        <f t="shared" si="14"/>
        <v>7770</v>
      </c>
    </row>
    <row r="156" spans="1:15" x14ac:dyDescent="0.3">
      <c r="A156" s="67" t="s">
        <v>250</v>
      </c>
      <c r="B156" s="70">
        <v>45174</v>
      </c>
      <c r="C156" s="67">
        <f t="shared" si="10"/>
        <v>2023</v>
      </c>
      <c r="D156" s="67" t="str">
        <f t="shared" si="11"/>
        <v>09 Sep</v>
      </c>
      <c r="E156" s="67" t="s">
        <v>36</v>
      </c>
      <c r="F156" s="67" t="s">
        <v>69</v>
      </c>
      <c r="G156" s="67" t="s">
        <v>68</v>
      </c>
      <c r="H156" s="67" t="s">
        <v>114</v>
      </c>
      <c r="I156" s="71">
        <v>6</v>
      </c>
      <c r="J156" s="72">
        <v>3610</v>
      </c>
      <c r="K156" s="73">
        <v>0.05</v>
      </c>
      <c r="L156" s="72">
        <v>2000</v>
      </c>
      <c r="M156" s="68">
        <f t="shared" si="12"/>
        <v>20577</v>
      </c>
      <c r="N156" s="68">
        <f t="shared" si="13"/>
        <v>12000</v>
      </c>
      <c r="O156" s="68">
        <f t="shared" si="14"/>
        <v>8577</v>
      </c>
    </row>
    <row r="157" spans="1:15" x14ac:dyDescent="0.3">
      <c r="A157" s="67" t="s">
        <v>251</v>
      </c>
      <c r="B157" s="70">
        <v>45175</v>
      </c>
      <c r="C157" s="67">
        <f t="shared" si="10"/>
        <v>2023</v>
      </c>
      <c r="D157" s="67" t="str">
        <f t="shared" si="11"/>
        <v>09 Sep</v>
      </c>
      <c r="E157" s="67" t="s">
        <v>39</v>
      </c>
      <c r="F157" s="67" t="s">
        <v>69</v>
      </c>
      <c r="G157" s="67" t="s">
        <v>60</v>
      </c>
      <c r="H157" s="67" t="s">
        <v>107</v>
      </c>
      <c r="I157" s="71">
        <v>3</v>
      </c>
      <c r="J157" s="72">
        <v>23960</v>
      </c>
      <c r="K157" s="73">
        <v>0.05</v>
      </c>
      <c r="L157" s="72">
        <v>18000</v>
      </c>
      <c r="M157" s="68">
        <f t="shared" si="12"/>
        <v>68286</v>
      </c>
      <c r="N157" s="68">
        <f t="shared" si="13"/>
        <v>54000</v>
      </c>
      <c r="O157" s="68">
        <f t="shared" si="14"/>
        <v>14286</v>
      </c>
    </row>
    <row r="158" spans="1:15" x14ac:dyDescent="0.3">
      <c r="A158" s="67" t="s">
        <v>252</v>
      </c>
      <c r="B158" s="70">
        <v>45175</v>
      </c>
      <c r="C158" s="67">
        <f t="shared" si="10"/>
        <v>2023</v>
      </c>
      <c r="D158" s="67" t="str">
        <f t="shared" si="11"/>
        <v>09 Sep</v>
      </c>
      <c r="E158" s="67" t="s">
        <v>42</v>
      </c>
      <c r="F158" s="67" t="s">
        <v>69</v>
      </c>
      <c r="G158" s="67" t="s">
        <v>60</v>
      </c>
      <c r="H158" s="67" t="s">
        <v>89</v>
      </c>
      <c r="I158" s="71">
        <v>1</v>
      </c>
      <c r="J158" s="72">
        <v>25020</v>
      </c>
      <c r="K158" s="73">
        <v>0.1</v>
      </c>
      <c r="L158" s="72">
        <v>18000</v>
      </c>
      <c r="M158" s="68">
        <f t="shared" si="12"/>
        <v>22518</v>
      </c>
      <c r="N158" s="68">
        <f t="shared" si="13"/>
        <v>18000</v>
      </c>
      <c r="O158" s="68">
        <f t="shared" si="14"/>
        <v>4518</v>
      </c>
    </row>
    <row r="159" spans="1:15" x14ac:dyDescent="0.3">
      <c r="A159" s="67" t="s">
        <v>253</v>
      </c>
      <c r="B159" s="70">
        <v>45176</v>
      </c>
      <c r="C159" s="67">
        <f t="shared" si="10"/>
        <v>2023</v>
      </c>
      <c r="D159" s="67" t="str">
        <f t="shared" si="11"/>
        <v>09 Sep</v>
      </c>
      <c r="E159" s="67" t="s">
        <v>42</v>
      </c>
      <c r="F159" s="67" t="s">
        <v>69</v>
      </c>
      <c r="G159" s="67" t="s">
        <v>68</v>
      </c>
      <c r="H159" s="67" t="s">
        <v>112</v>
      </c>
      <c r="I159" s="71">
        <v>5</v>
      </c>
      <c r="J159" s="72">
        <v>3390</v>
      </c>
      <c r="K159" s="73">
        <v>0</v>
      </c>
      <c r="L159" s="72">
        <v>2000</v>
      </c>
      <c r="M159" s="68">
        <f t="shared" si="12"/>
        <v>16950</v>
      </c>
      <c r="N159" s="68">
        <f t="shared" si="13"/>
        <v>10000</v>
      </c>
      <c r="O159" s="68">
        <f t="shared" si="14"/>
        <v>6950</v>
      </c>
    </row>
    <row r="160" spans="1:15" x14ac:dyDescent="0.3">
      <c r="A160" s="67" t="s">
        <v>254</v>
      </c>
      <c r="B160" s="70">
        <v>45178</v>
      </c>
      <c r="C160" s="67">
        <f t="shared" si="10"/>
        <v>2023</v>
      </c>
      <c r="D160" s="67" t="str">
        <f t="shared" si="11"/>
        <v>09 Sep</v>
      </c>
      <c r="E160" s="67" t="s">
        <v>45</v>
      </c>
      <c r="F160" s="67" t="s">
        <v>70</v>
      </c>
      <c r="G160" s="67" t="s">
        <v>58</v>
      </c>
      <c r="H160" s="67" t="s">
        <v>93</v>
      </c>
      <c r="I160" s="71">
        <v>4</v>
      </c>
      <c r="J160" s="72">
        <v>9370</v>
      </c>
      <c r="K160" s="73">
        <v>0.1</v>
      </c>
      <c r="L160" s="72">
        <v>6000</v>
      </c>
      <c r="M160" s="68">
        <f t="shared" si="12"/>
        <v>33732</v>
      </c>
      <c r="N160" s="68">
        <f t="shared" si="13"/>
        <v>24000</v>
      </c>
      <c r="O160" s="68">
        <f t="shared" si="14"/>
        <v>9732</v>
      </c>
    </row>
    <row r="161" spans="1:15" x14ac:dyDescent="0.3">
      <c r="A161" s="67" t="s">
        <v>255</v>
      </c>
      <c r="B161" s="70">
        <v>45179</v>
      </c>
      <c r="C161" s="67">
        <f t="shared" si="10"/>
        <v>2023</v>
      </c>
      <c r="D161" s="67" t="str">
        <f t="shared" si="11"/>
        <v>09 Sep</v>
      </c>
      <c r="E161" s="67" t="s">
        <v>36</v>
      </c>
      <c r="F161" s="67" t="s">
        <v>71</v>
      </c>
      <c r="G161" s="67" t="s">
        <v>44</v>
      </c>
      <c r="H161" s="67" t="s">
        <v>91</v>
      </c>
      <c r="I161" s="71">
        <v>5</v>
      </c>
      <c r="J161" s="72">
        <v>670</v>
      </c>
      <c r="K161" s="73">
        <v>0</v>
      </c>
      <c r="L161" s="72">
        <v>380</v>
      </c>
      <c r="M161" s="68">
        <f t="shared" si="12"/>
        <v>3350</v>
      </c>
      <c r="N161" s="68">
        <f t="shared" si="13"/>
        <v>1900</v>
      </c>
      <c r="O161" s="68">
        <f t="shared" si="14"/>
        <v>1450</v>
      </c>
    </row>
    <row r="162" spans="1:15" x14ac:dyDescent="0.3">
      <c r="A162" s="67" t="s">
        <v>256</v>
      </c>
      <c r="B162" s="70">
        <v>45179</v>
      </c>
      <c r="C162" s="67">
        <f t="shared" si="10"/>
        <v>2023</v>
      </c>
      <c r="D162" s="67" t="str">
        <f t="shared" si="11"/>
        <v>09 Sep</v>
      </c>
      <c r="E162" s="67" t="s">
        <v>39</v>
      </c>
      <c r="F162" s="67" t="s">
        <v>70</v>
      </c>
      <c r="G162" s="67" t="s">
        <v>41</v>
      </c>
      <c r="H162" s="67" t="s">
        <v>100</v>
      </c>
      <c r="I162" s="71">
        <v>4</v>
      </c>
      <c r="J162" s="72">
        <v>6390</v>
      </c>
      <c r="K162" s="73">
        <v>0</v>
      </c>
      <c r="L162" s="72">
        <v>4200</v>
      </c>
      <c r="M162" s="68">
        <f t="shared" si="12"/>
        <v>25560</v>
      </c>
      <c r="N162" s="68">
        <f t="shared" si="13"/>
        <v>16800</v>
      </c>
      <c r="O162" s="68">
        <f t="shared" si="14"/>
        <v>8760</v>
      </c>
    </row>
    <row r="163" spans="1:15" x14ac:dyDescent="0.3">
      <c r="A163" s="67" t="s">
        <v>257</v>
      </c>
      <c r="B163" s="70">
        <v>45180</v>
      </c>
      <c r="C163" s="67">
        <f t="shared" si="10"/>
        <v>2023</v>
      </c>
      <c r="D163" s="67" t="str">
        <f t="shared" si="11"/>
        <v>09 Sep</v>
      </c>
      <c r="E163" s="67" t="s">
        <v>36</v>
      </c>
      <c r="F163" s="67" t="s">
        <v>71</v>
      </c>
      <c r="G163" s="67" t="s">
        <v>44</v>
      </c>
      <c r="H163" s="67" t="s">
        <v>114</v>
      </c>
      <c r="I163" s="71">
        <v>16</v>
      </c>
      <c r="J163" s="72">
        <v>730</v>
      </c>
      <c r="K163" s="73">
        <v>0.15</v>
      </c>
      <c r="L163" s="72">
        <v>380</v>
      </c>
      <c r="M163" s="68">
        <f t="shared" si="12"/>
        <v>9928</v>
      </c>
      <c r="N163" s="68">
        <f t="shared" si="13"/>
        <v>6080</v>
      </c>
      <c r="O163" s="68">
        <f t="shared" si="14"/>
        <v>3848</v>
      </c>
    </row>
    <row r="164" spans="1:15" x14ac:dyDescent="0.3">
      <c r="A164" s="67" t="s">
        <v>258</v>
      </c>
      <c r="B164" s="70">
        <v>45181</v>
      </c>
      <c r="C164" s="67">
        <f t="shared" si="10"/>
        <v>2023</v>
      </c>
      <c r="D164" s="67" t="str">
        <f t="shared" si="11"/>
        <v>09 Sep</v>
      </c>
      <c r="E164" s="67" t="s">
        <v>39</v>
      </c>
      <c r="F164" s="67" t="s">
        <v>70</v>
      </c>
      <c r="G164" s="67" t="s">
        <v>58</v>
      </c>
      <c r="H164" s="67" t="s">
        <v>107</v>
      </c>
      <c r="I164" s="71">
        <v>4</v>
      </c>
      <c r="J164" s="72">
        <v>8980</v>
      </c>
      <c r="K164" s="73">
        <v>0</v>
      </c>
      <c r="L164" s="72">
        <v>6000</v>
      </c>
      <c r="M164" s="68">
        <f t="shared" si="12"/>
        <v>35920</v>
      </c>
      <c r="N164" s="68">
        <f t="shared" si="13"/>
        <v>24000</v>
      </c>
      <c r="O164" s="68">
        <f t="shared" si="14"/>
        <v>11920</v>
      </c>
    </row>
    <row r="165" spans="1:15" x14ac:dyDescent="0.3">
      <c r="A165" s="67" t="s">
        <v>259</v>
      </c>
      <c r="B165" s="70">
        <v>45181</v>
      </c>
      <c r="C165" s="67">
        <f t="shared" si="10"/>
        <v>2023</v>
      </c>
      <c r="D165" s="67" t="str">
        <f t="shared" si="11"/>
        <v>09 Sep</v>
      </c>
      <c r="E165" s="67" t="s">
        <v>42</v>
      </c>
      <c r="F165" s="67" t="s">
        <v>69</v>
      </c>
      <c r="G165" s="67" t="s">
        <v>50</v>
      </c>
      <c r="H165" s="67" t="s">
        <v>112</v>
      </c>
      <c r="I165" s="71">
        <v>1</v>
      </c>
      <c r="J165" s="72">
        <v>55030</v>
      </c>
      <c r="K165" s="73">
        <v>0</v>
      </c>
      <c r="L165" s="72">
        <v>42000</v>
      </c>
      <c r="M165" s="68">
        <f t="shared" si="12"/>
        <v>55030</v>
      </c>
      <c r="N165" s="68">
        <f t="shared" si="13"/>
        <v>42000</v>
      </c>
      <c r="O165" s="68">
        <f t="shared" si="14"/>
        <v>13030</v>
      </c>
    </row>
    <row r="166" spans="1:15" x14ac:dyDescent="0.3">
      <c r="A166" s="67" t="s">
        <v>260</v>
      </c>
      <c r="B166" s="70">
        <v>45182</v>
      </c>
      <c r="C166" s="67">
        <f t="shared" si="10"/>
        <v>2023</v>
      </c>
      <c r="D166" s="67" t="str">
        <f t="shared" si="11"/>
        <v>09 Sep</v>
      </c>
      <c r="E166" s="67" t="s">
        <v>36</v>
      </c>
      <c r="F166" s="67" t="s">
        <v>71</v>
      </c>
      <c r="G166" s="67" t="s">
        <v>44</v>
      </c>
      <c r="H166" s="67" t="s">
        <v>91</v>
      </c>
      <c r="I166" s="71">
        <v>17</v>
      </c>
      <c r="J166" s="72">
        <v>720</v>
      </c>
      <c r="K166" s="73">
        <v>0.1</v>
      </c>
      <c r="L166" s="72">
        <v>380</v>
      </c>
      <c r="M166" s="68">
        <f t="shared" si="12"/>
        <v>11016</v>
      </c>
      <c r="N166" s="68">
        <f t="shared" si="13"/>
        <v>6460</v>
      </c>
      <c r="O166" s="68">
        <f t="shared" si="14"/>
        <v>4556</v>
      </c>
    </row>
    <row r="167" spans="1:15" x14ac:dyDescent="0.3">
      <c r="A167" s="67" t="s">
        <v>261</v>
      </c>
      <c r="B167" s="70">
        <v>45183</v>
      </c>
      <c r="C167" s="67">
        <f t="shared" si="10"/>
        <v>2023</v>
      </c>
      <c r="D167" s="67" t="str">
        <f t="shared" si="11"/>
        <v>09 Sep</v>
      </c>
      <c r="E167" s="67" t="s">
        <v>48</v>
      </c>
      <c r="F167" s="67" t="s">
        <v>70</v>
      </c>
      <c r="G167" s="67" t="s">
        <v>62</v>
      </c>
      <c r="H167" s="67" t="s">
        <v>95</v>
      </c>
      <c r="I167" s="71">
        <v>2</v>
      </c>
      <c r="J167" s="72">
        <v>17550</v>
      </c>
      <c r="K167" s="73">
        <v>0</v>
      </c>
      <c r="L167" s="72">
        <v>12500</v>
      </c>
      <c r="M167" s="68">
        <f t="shared" si="12"/>
        <v>35100</v>
      </c>
      <c r="N167" s="68">
        <f t="shared" si="13"/>
        <v>25000</v>
      </c>
      <c r="O167" s="68">
        <f t="shared" si="14"/>
        <v>10100</v>
      </c>
    </row>
    <row r="168" spans="1:15" x14ac:dyDescent="0.3">
      <c r="A168" s="67" t="s">
        <v>262</v>
      </c>
      <c r="B168" s="70">
        <v>45185</v>
      </c>
      <c r="C168" s="67">
        <f t="shared" si="10"/>
        <v>2023</v>
      </c>
      <c r="D168" s="67" t="str">
        <f t="shared" si="11"/>
        <v>09 Sep</v>
      </c>
      <c r="E168" s="67" t="s">
        <v>42</v>
      </c>
      <c r="F168" s="67" t="s">
        <v>71</v>
      </c>
      <c r="G168" s="67" t="s">
        <v>47</v>
      </c>
      <c r="H168" s="67" t="s">
        <v>112</v>
      </c>
      <c r="I168" s="71">
        <v>20</v>
      </c>
      <c r="J168" s="72">
        <v>300</v>
      </c>
      <c r="K168" s="73">
        <v>0</v>
      </c>
      <c r="L168" s="72">
        <v>160</v>
      </c>
      <c r="M168" s="68">
        <f t="shared" si="12"/>
        <v>6000</v>
      </c>
      <c r="N168" s="68">
        <f t="shared" si="13"/>
        <v>3200</v>
      </c>
      <c r="O168" s="68">
        <f t="shared" si="14"/>
        <v>2800</v>
      </c>
    </row>
    <row r="169" spans="1:15" x14ac:dyDescent="0.3">
      <c r="A169" s="67" t="s">
        <v>263</v>
      </c>
      <c r="B169" s="70">
        <v>45186</v>
      </c>
      <c r="C169" s="67">
        <f t="shared" si="10"/>
        <v>2023</v>
      </c>
      <c r="D169" s="67" t="str">
        <f t="shared" si="11"/>
        <v>09 Sep</v>
      </c>
      <c r="E169" s="67" t="s">
        <v>48</v>
      </c>
      <c r="F169" s="67" t="s">
        <v>69</v>
      </c>
      <c r="G169" s="67" t="s">
        <v>68</v>
      </c>
      <c r="H169" s="67" t="s">
        <v>98</v>
      </c>
      <c r="I169" s="71">
        <v>3</v>
      </c>
      <c r="J169" s="72">
        <v>3450</v>
      </c>
      <c r="K169" s="73">
        <v>0</v>
      </c>
      <c r="L169" s="72">
        <v>2000</v>
      </c>
      <c r="M169" s="68">
        <f t="shared" si="12"/>
        <v>10350</v>
      </c>
      <c r="N169" s="68">
        <f t="shared" si="13"/>
        <v>6000</v>
      </c>
      <c r="O169" s="68">
        <f t="shared" si="14"/>
        <v>4350</v>
      </c>
    </row>
    <row r="170" spans="1:15" x14ac:dyDescent="0.3">
      <c r="A170" s="67" t="s">
        <v>264</v>
      </c>
      <c r="B170" s="70">
        <v>45190</v>
      </c>
      <c r="C170" s="67">
        <f t="shared" si="10"/>
        <v>2023</v>
      </c>
      <c r="D170" s="67" t="str">
        <f t="shared" si="11"/>
        <v>09 Sep</v>
      </c>
      <c r="E170" s="67" t="s">
        <v>36</v>
      </c>
      <c r="F170" s="67" t="s">
        <v>69</v>
      </c>
      <c r="G170" s="67" t="s">
        <v>50</v>
      </c>
      <c r="H170" s="67" t="s">
        <v>91</v>
      </c>
      <c r="I170" s="71">
        <v>2</v>
      </c>
      <c r="J170" s="72">
        <v>53290</v>
      </c>
      <c r="K170" s="73">
        <v>0</v>
      </c>
      <c r="L170" s="72">
        <v>42000</v>
      </c>
      <c r="M170" s="68">
        <f t="shared" si="12"/>
        <v>106580</v>
      </c>
      <c r="N170" s="68">
        <f t="shared" si="13"/>
        <v>84000</v>
      </c>
      <c r="O170" s="68">
        <f t="shared" si="14"/>
        <v>22580</v>
      </c>
    </row>
    <row r="171" spans="1:15" x14ac:dyDescent="0.3">
      <c r="A171" s="67" t="s">
        <v>265</v>
      </c>
      <c r="B171" s="70">
        <v>45191</v>
      </c>
      <c r="C171" s="67">
        <f t="shared" si="10"/>
        <v>2023</v>
      </c>
      <c r="D171" s="67" t="str">
        <f t="shared" si="11"/>
        <v>09 Sep</v>
      </c>
      <c r="E171" s="67" t="s">
        <v>42</v>
      </c>
      <c r="F171" s="67" t="s">
        <v>71</v>
      </c>
      <c r="G171" s="67" t="s">
        <v>44</v>
      </c>
      <c r="H171" s="67" t="s">
        <v>89</v>
      </c>
      <c r="I171" s="71">
        <v>11</v>
      </c>
      <c r="J171" s="72">
        <v>690</v>
      </c>
      <c r="K171" s="73">
        <v>0.05</v>
      </c>
      <c r="L171" s="72">
        <v>380</v>
      </c>
      <c r="M171" s="68">
        <f t="shared" si="12"/>
        <v>7210.5</v>
      </c>
      <c r="N171" s="68">
        <f t="shared" si="13"/>
        <v>4180</v>
      </c>
      <c r="O171" s="68">
        <f t="shared" si="14"/>
        <v>3030.5</v>
      </c>
    </row>
    <row r="172" spans="1:15" x14ac:dyDescent="0.3">
      <c r="A172" s="67" t="s">
        <v>266</v>
      </c>
      <c r="B172" s="70">
        <v>45192</v>
      </c>
      <c r="C172" s="67">
        <f t="shared" si="10"/>
        <v>2023</v>
      </c>
      <c r="D172" s="67" t="str">
        <f t="shared" si="11"/>
        <v>09 Sep</v>
      </c>
      <c r="E172" s="67" t="s">
        <v>39</v>
      </c>
      <c r="F172" s="67" t="s">
        <v>69</v>
      </c>
      <c r="G172" s="67" t="s">
        <v>60</v>
      </c>
      <c r="H172" s="67" t="s">
        <v>100</v>
      </c>
      <c r="I172" s="71">
        <v>3</v>
      </c>
      <c r="J172" s="72">
        <v>23670</v>
      </c>
      <c r="K172" s="73">
        <v>0</v>
      </c>
      <c r="L172" s="72">
        <v>18000</v>
      </c>
      <c r="M172" s="68">
        <f t="shared" si="12"/>
        <v>71010</v>
      </c>
      <c r="N172" s="68">
        <f t="shared" si="13"/>
        <v>54000</v>
      </c>
      <c r="O172" s="68">
        <f t="shared" si="14"/>
        <v>17010</v>
      </c>
    </row>
    <row r="173" spans="1:15" x14ac:dyDescent="0.3">
      <c r="A173" s="67" t="s">
        <v>267</v>
      </c>
      <c r="B173" s="70">
        <v>45197</v>
      </c>
      <c r="C173" s="67">
        <f t="shared" si="10"/>
        <v>2023</v>
      </c>
      <c r="D173" s="67" t="str">
        <f t="shared" si="11"/>
        <v>09 Sep</v>
      </c>
      <c r="E173" s="67" t="s">
        <v>48</v>
      </c>
      <c r="F173" s="67" t="s">
        <v>71</v>
      </c>
      <c r="G173" s="67" t="s">
        <v>47</v>
      </c>
      <c r="H173" s="67" t="s">
        <v>95</v>
      </c>
      <c r="I173" s="71">
        <v>41</v>
      </c>
      <c r="J173" s="72">
        <v>310</v>
      </c>
      <c r="K173" s="73">
        <v>0.05</v>
      </c>
      <c r="L173" s="72">
        <v>160</v>
      </c>
      <c r="M173" s="68">
        <f t="shared" si="12"/>
        <v>12074.5</v>
      </c>
      <c r="N173" s="68">
        <f t="shared" si="13"/>
        <v>6560</v>
      </c>
      <c r="O173" s="68">
        <f t="shared" si="14"/>
        <v>5514.5</v>
      </c>
    </row>
    <row r="174" spans="1:15" x14ac:dyDescent="0.3">
      <c r="A174" s="67" t="s">
        <v>268</v>
      </c>
      <c r="B174" s="70">
        <v>45200</v>
      </c>
      <c r="C174" s="67">
        <f t="shared" si="10"/>
        <v>2023</v>
      </c>
      <c r="D174" s="67" t="str">
        <f t="shared" si="11"/>
        <v>10 Oct</v>
      </c>
      <c r="E174" s="67" t="s">
        <v>48</v>
      </c>
      <c r="F174" s="67" t="s">
        <v>70</v>
      </c>
      <c r="G174" s="67" t="s">
        <v>58</v>
      </c>
      <c r="H174" s="67" t="s">
        <v>95</v>
      </c>
      <c r="I174" s="71">
        <v>4</v>
      </c>
      <c r="J174" s="72">
        <v>9280</v>
      </c>
      <c r="K174" s="73">
        <v>0.1</v>
      </c>
      <c r="L174" s="72">
        <v>6000</v>
      </c>
      <c r="M174" s="68">
        <f t="shared" si="12"/>
        <v>33408</v>
      </c>
      <c r="N174" s="68">
        <f t="shared" si="13"/>
        <v>24000</v>
      </c>
      <c r="O174" s="68">
        <f t="shared" si="14"/>
        <v>9408</v>
      </c>
    </row>
    <row r="175" spans="1:15" x14ac:dyDescent="0.3">
      <c r="A175" s="67" t="s">
        <v>269</v>
      </c>
      <c r="B175" s="70">
        <v>45202</v>
      </c>
      <c r="C175" s="67">
        <f t="shared" si="10"/>
        <v>2023</v>
      </c>
      <c r="D175" s="67" t="str">
        <f t="shared" si="11"/>
        <v>10 Oct</v>
      </c>
      <c r="E175" s="67" t="s">
        <v>36</v>
      </c>
      <c r="F175" s="67" t="s">
        <v>70</v>
      </c>
      <c r="G175" s="67" t="s">
        <v>58</v>
      </c>
      <c r="H175" s="67" t="s">
        <v>91</v>
      </c>
      <c r="I175" s="71">
        <v>1</v>
      </c>
      <c r="J175" s="72">
        <v>8830</v>
      </c>
      <c r="K175" s="73">
        <v>0.1</v>
      </c>
      <c r="L175" s="72">
        <v>6000</v>
      </c>
      <c r="M175" s="68">
        <f t="shared" si="12"/>
        <v>7947</v>
      </c>
      <c r="N175" s="68">
        <f t="shared" si="13"/>
        <v>6000</v>
      </c>
      <c r="O175" s="68">
        <f t="shared" si="14"/>
        <v>1947</v>
      </c>
    </row>
    <row r="176" spans="1:15" x14ac:dyDescent="0.3">
      <c r="A176" s="67" t="s">
        <v>270</v>
      </c>
      <c r="B176" s="70">
        <v>45203</v>
      </c>
      <c r="C176" s="67">
        <f t="shared" si="10"/>
        <v>2023</v>
      </c>
      <c r="D176" s="67" t="str">
        <f t="shared" si="11"/>
        <v>10 Oct</v>
      </c>
      <c r="E176" s="67" t="s">
        <v>45</v>
      </c>
      <c r="F176" s="67" t="s">
        <v>71</v>
      </c>
      <c r="G176" s="67" t="s">
        <v>47</v>
      </c>
      <c r="H176" s="67" t="s">
        <v>87</v>
      </c>
      <c r="I176" s="71">
        <v>21</v>
      </c>
      <c r="J176" s="72">
        <v>300</v>
      </c>
      <c r="K176" s="73">
        <v>0</v>
      </c>
      <c r="L176" s="72">
        <v>160</v>
      </c>
      <c r="M176" s="68">
        <f t="shared" si="12"/>
        <v>6300</v>
      </c>
      <c r="N176" s="68">
        <f t="shared" si="13"/>
        <v>3360</v>
      </c>
      <c r="O176" s="68">
        <f t="shared" si="14"/>
        <v>2940</v>
      </c>
    </row>
    <row r="177" spans="1:15" x14ac:dyDescent="0.3">
      <c r="A177" s="67" t="s">
        <v>271</v>
      </c>
      <c r="B177" s="70">
        <v>45204</v>
      </c>
      <c r="C177" s="67">
        <f t="shared" si="10"/>
        <v>2023</v>
      </c>
      <c r="D177" s="67" t="str">
        <f t="shared" si="11"/>
        <v>10 Oct</v>
      </c>
      <c r="E177" s="67" t="s">
        <v>42</v>
      </c>
      <c r="F177" s="67" t="s">
        <v>71</v>
      </c>
      <c r="G177" s="67" t="s">
        <v>44</v>
      </c>
      <c r="H177" s="67" t="s">
        <v>112</v>
      </c>
      <c r="I177" s="71">
        <v>4</v>
      </c>
      <c r="J177" s="72">
        <v>710</v>
      </c>
      <c r="K177" s="73">
        <v>0</v>
      </c>
      <c r="L177" s="72">
        <v>380</v>
      </c>
      <c r="M177" s="68">
        <f t="shared" si="12"/>
        <v>2840</v>
      </c>
      <c r="N177" s="68">
        <f t="shared" si="13"/>
        <v>1520</v>
      </c>
      <c r="O177" s="68">
        <f t="shared" si="14"/>
        <v>1320</v>
      </c>
    </row>
    <row r="178" spans="1:15" x14ac:dyDescent="0.3">
      <c r="A178" s="67" t="s">
        <v>272</v>
      </c>
      <c r="B178" s="70">
        <v>45204</v>
      </c>
      <c r="C178" s="67">
        <f t="shared" si="10"/>
        <v>2023</v>
      </c>
      <c r="D178" s="67" t="str">
        <f t="shared" si="11"/>
        <v>10 Oct</v>
      </c>
      <c r="E178" s="67" t="s">
        <v>45</v>
      </c>
      <c r="F178" s="67" t="s">
        <v>69</v>
      </c>
      <c r="G178" s="67" t="s">
        <v>50</v>
      </c>
      <c r="H178" s="67" t="s">
        <v>93</v>
      </c>
      <c r="I178" s="71">
        <v>1</v>
      </c>
      <c r="J178" s="72">
        <v>52430</v>
      </c>
      <c r="K178" s="73">
        <v>0.15</v>
      </c>
      <c r="L178" s="72">
        <v>42000</v>
      </c>
      <c r="M178" s="68">
        <f t="shared" si="12"/>
        <v>44565.5</v>
      </c>
      <c r="N178" s="68">
        <f t="shared" si="13"/>
        <v>42000</v>
      </c>
      <c r="O178" s="68">
        <f t="shared" si="14"/>
        <v>2565.5</v>
      </c>
    </row>
    <row r="179" spans="1:15" x14ac:dyDescent="0.3">
      <c r="A179" s="67" t="s">
        <v>273</v>
      </c>
      <c r="B179" s="70">
        <v>45205</v>
      </c>
      <c r="C179" s="67">
        <f t="shared" si="10"/>
        <v>2023</v>
      </c>
      <c r="D179" s="67" t="str">
        <f t="shared" si="11"/>
        <v>10 Oct</v>
      </c>
      <c r="E179" s="67" t="s">
        <v>42</v>
      </c>
      <c r="F179" s="67" t="s">
        <v>69</v>
      </c>
      <c r="G179" s="67" t="s">
        <v>68</v>
      </c>
      <c r="H179" s="67" t="s">
        <v>89</v>
      </c>
      <c r="I179" s="71">
        <v>1</v>
      </c>
      <c r="J179" s="72">
        <v>3360</v>
      </c>
      <c r="K179" s="73">
        <v>0.05</v>
      </c>
      <c r="L179" s="72">
        <v>2000</v>
      </c>
      <c r="M179" s="68">
        <f t="shared" si="12"/>
        <v>3192</v>
      </c>
      <c r="N179" s="68">
        <f t="shared" si="13"/>
        <v>2000</v>
      </c>
      <c r="O179" s="68">
        <f t="shared" si="14"/>
        <v>1192</v>
      </c>
    </row>
    <row r="180" spans="1:15" x14ac:dyDescent="0.3">
      <c r="A180" s="67" t="s">
        <v>274</v>
      </c>
      <c r="B180" s="70">
        <v>45206</v>
      </c>
      <c r="C180" s="67">
        <f t="shared" si="10"/>
        <v>2023</v>
      </c>
      <c r="D180" s="67" t="str">
        <f t="shared" si="11"/>
        <v>10 Oct</v>
      </c>
      <c r="E180" s="67" t="s">
        <v>48</v>
      </c>
      <c r="F180" s="67" t="s">
        <v>66</v>
      </c>
      <c r="G180" s="67" t="s">
        <v>65</v>
      </c>
      <c r="H180" s="67" t="s">
        <v>98</v>
      </c>
      <c r="I180" s="71">
        <v>3</v>
      </c>
      <c r="J180" s="72">
        <v>14100</v>
      </c>
      <c r="K180" s="73">
        <v>0</v>
      </c>
      <c r="L180" s="72">
        <v>9000</v>
      </c>
      <c r="M180" s="68">
        <f t="shared" si="12"/>
        <v>42300</v>
      </c>
      <c r="N180" s="68">
        <f t="shared" si="13"/>
        <v>27000</v>
      </c>
      <c r="O180" s="68">
        <f t="shared" si="14"/>
        <v>15300</v>
      </c>
    </row>
    <row r="181" spans="1:15" x14ac:dyDescent="0.3">
      <c r="A181" s="67" t="s">
        <v>275</v>
      </c>
      <c r="B181" s="70">
        <v>45206</v>
      </c>
      <c r="C181" s="67">
        <f t="shared" si="10"/>
        <v>2023</v>
      </c>
      <c r="D181" s="67" t="str">
        <f t="shared" si="11"/>
        <v>10 Oct</v>
      </c>
      <c r="E181" s="67" t="s">
        <v>48</v>
      </c>
      <c r="F181" s="67" t="s">
        <v>69</v>
      </c>
      <c r="G181" s="67" t="s">
        <v>60</v>
      </c>
      <c r="H181" s="67" t="s">
        <v>98</v>
      </c>
      <c r="I181" s="71">
        <v>3</v>
      </c>
      <c r="J181" s="72">
        <v>24880</v>
      </c>
      <c r="K181" s="73">
        <v>0.1</v>
      </c>
      <c r="L181" s="72">
        <v>18000</v>
      </c>
      <c r="M181" s="68">
        <f t="shared" si="12"/>
        <v>67176</v>
      </c>
      <c r="N181" s="68">
        <f t="shared" si="13"/>
        <v>54000</v>
      </c>
      <c r="O181" s="68">
        <f t="shared" si="14"/>
        <v>13176</v>
      </c>
    </row>
    <row r="182" spans="1:15" x14ac:dyDescent="0.3">
      <c r="A182" s="67" t="s">
        <v>276</v>
      </c>
      <c r="B182" s="70">
        <v>45207</v>
      </c>
      <c r="C182" s="67">
        <f t="shared" si="10"/>
        <v>2023</v>
      </c>
      <c r="D182" s="67" t="str">
        <f t="shared" si="11"/>
        <v>10 Oct</v>
      </c>
      <c r="E182" s="67" t="s">
        <v>42</v>
      </c>
      <c r="F182" s="67" t="s">
        <v>70</v>
      </c>
      <c r="G182" s="67" t="s">
        <v>62</v>
      </c>
      <c r="H182" s="67" t="s">
        <v>112</v>
      </c>
      <c r="I182" s="71">
        <v>3</v>
      </c>
      <c r="J182" s="72">
        <v>17910</v>
      </c>
      <c r="K182" s="73">
        <v>0.05</v>
      </c>
      <c r="L182" s="72">
        <v>12500</v>
      </c>
      <c r="M182" s="68">
        <f t="shared" si="12"/>
        <v>51043.5</v>
      </c>
      <c r="N182" s="68">
        <f t="shared" si="13"/>
        <v>37500</v>
      </c>
      <c r="O182" s="68">
        <f t="shared" si="14"/>
        <v>13543.5</v>
      </c>
    </row>
    <row r="183" spans="1:15" x14ac:dyDescent="0.3">
      <c r="A183" s="67" t="s">
        <v>277</v>
      </c>
      <c r="B183" s="70">
        <v>45209</v>
      </c>
      <c r="C183" s="67">
        <f t="shared" si="10"/>
        <v>2023</v>
      </c>
      <c r="D183" s="67" t="str">
        <f t="shared" si="11"/>
        <v>10 Oct</v>
      </c>
      <c r="E183" s="67" t="s">
        <v>42</v>
      </c>
      <c r="F183" s="67" t="s">
        <v>69</v>
      </c>
      <c r="G183" s="67" t="s">
        <v>68</v>
      </c>
      <c r="H183" s="67" t="s">
        <v>112</v>
      </c>
      <c r="I183" s="71">
        <v>1</v>
      </c>
      <c r="J183" s="72">
        <v>3420</v>
      </c>
      <c r="K183" s="73">
        <v>0.1</v>
      </c>
      <c r="L183" s="72">
        <v>2000</v>
      </c>
      <c r="M183" s="68">
        <f t="shared" si="12"/>
        <v>3078</v>
      </c>
      <c r="N183" s="68">
        <f t="shared" si="13"/>
        <v>2000</v>
      </c>
      <c r="O183" s="68">
        <f t="shared" si="14"/>
        <v>1078</v>
      </c>
    </row>
    <row r="184" spans="1:15" x14ac:dyDescent="0.3">
      <c r="A184" s="67" t="s">
        <v>278</v>
      </c>
      <c r="B184" s="70">
        <v>45210</v>
      </c>
      <c r="C184" s="67">
        <f t="shared" si="10"/>
        <v>2023</v>
      </c>
      <c r="D184" s="67" t="str">
        <f t="shared" si="11"/>
        <v>10 Oct</v>
      </c>
      <c r="E184" s="67" t="s">
        <v>45</v>
      </c>
      <c r="F184" s="67" t="s">
        <v>70</v>
      </c>
      <c r="G184" s="67" t="s">
        <v>58</v>
      </c>
      <c r="H184" s="67" t="s">
        <v>93</v>
      </c>
      <c r="I184" s="71">
        <v>3</v>
      </c>
      <c r="J184" s="72">
        <v>9360</v>
      </c>
      <c r="K184" s="73">
        <v>0.1</v>
      </c>
      <c r="L184" s="72">
        <v>6000</v>
      </c>
      <c r="M184" s="68">
        <f t="shared" si="12"/>
        <v>25272</v>
      </c>
      <c r="N184" s="68">
        <f t="shared" si="13"/>
        <v>18000</v>
      </c>
      <c r="O184" s="68">
        <f t="shared" si="14"/>
        <v>7272</v>
      </c>
    </row>
    <row r="185" spans="1:15" x14ac:dyDescent="0.3">
      <c r="A185" s="67" t="s">
        <v>279</v>
      </c>
      <c r="B185" s="70">
        <v>45210</v>
      </c>
      <c r="C185" s="67">
        <f t="shared" si="10"/>
        <v>2023</v>
      </c>
      <c r="D185" s="67" t="str">
        <f t="shared" si="11"/>
        <v>10 Oct</v>
      </c>
      <c r="E185" s="67" t="s">
        <v>45</v>
      </c>
      <c r="F185" s="67" t="s">
        <v>66</v>
      </c>
      <c r="G185" s="67" t="s">
        <v>65</v>
      </c>
      <c r="H185" s="67" t="s">
        <v>87</v>
      </c>
      <c r="I185" s="71">
        <v>3</v>
      </c>
      <c r="J185" s="72">
        <v>13910</v>
      </c>
      <c r="K185" s="73">
        <v>0</v>
      </c>
      <c r="L185" s="72">
        <v>9000</v>
      </c>
      <c r="M185" s="68">
        <f t="shared" si="12"/>
        <v>41730</v>
      </c>
      <c r="N185" s="68">
        <f t="shared" si="13"/>
        <v>27000</v>
      </c>
      <c r="O185" s="68">
        <f t="shared" si="14"/>
        <v>14730</v>
      </c>
    </row>
    <row r="186" spans="1:15" x14ac:dyDescent="0.3">
      <c r="A186" s="67" t="s">
        <v>280</v>
      </c>
      <c r="B186" s="70">
        <v>45211</v>
      </c>
      <c r="C186" s="67">
        <f t="shared" si="10"/>
        <v>2023</v>
      </c>
      <c r="D186" s="67" t="str">
        <f t="shared" si="11"/>
        <v>10 Oct</v>
      </c>
      <c r="E186" s="67" t="s">
        <v>39</v>
      </c>
      <c r="F186" s="67" t="s">
        <v>69</v>
      </c>
      <c r="G186" s="67" t="s">
        <v>50</v>
      </c>
      <c r="H186" s="67" t="s">
        <v>107</v>
      </c>
      <c r="I186" s="71">
        <v>1</v>
      </c>
      <c r="J186" s="72">
        <v>57720</v>
      </c>
      <c r="K186" s="73">
        <v>0.05</v>
      </c>
      <c r="L186" s="72">
        <v>42000</v>
      </c>
      <c r="M186" s="68">
        <f t="shared" si="12"/>
        <v>54834</v>
      </c>
      <c r="N186" s="68">
        <f t="shared" si="13"/>
        <v>42000</v>
      </c>
      <c r="O186" s="68">
        <f t="shared" si="14"/>
        <v>12834</v>
      </c>
    </row>
    <row r="187" spans="1:15" x14ac:dyDescent="0.3">
      <c r="A187" s="67" t="s">
        <v>281</v>
      </c>
      <c r="B187" s="70">
        <v>45212</v>
      </c>
      <c r="C187" s="67">
        <f t="shared" si="10"/>
        <v>2023</v>
      </c>
      <c r="D187" s="67" t="str">
        <f t="shared" si="11"/>
        <v>10 Oct</v>
      </c>
      <c r="E187" s="67" t="s">
        <v>45</v>
      </c>
      <c r="F187" s="67" t="s">
        <v>71</v>
      </c>
      <c r="G187" s="67" t="s">
        <v>44</v>
      </c>
      <c r="H187" s="67" t="s">
        <v>93</v>
      </c>
      <c r="I187" s="71">
        <v>5</v>
      </c>
      <c r="J187" s="72">
        <v>730</v>
      </c>
      <c r="K187" s="73">
        <v>0.15</v>
      </c>
      <c r="L187" s="72">
        <v>380</v>
      </c>
      <c r="M187" s="68">
        <f t="shared" si="12"/>
        <v>3102.5</v>
      </c>
      <c r="N187" s="68">
        <f t="shared" si="13"/>
        <v>1900</v>
      </c>
      <c r="O187" s="68">
        <f t="shared" si="14"/>
        <v>1202.5</v>
      </c>
    </row>
    <row r="188" spans="1:15" x14ac:dyDescent="0.3">
      <c r="A188" s="67" t="s">
        <v>282</v>
      </c>
      <c r="B188" s="70">
        <v>45213</v>
      </c>
      <c r="C188" s="67">
        <f t="shared" si="10"/>
        <v>2023</v>
      </c>
      <c r="D188" s="67" t="str">
        <f t="shared" si="11"/>
        <v>10 Oct</v>
      </c>
      <c r="E188" s="67" t="s">
        <v>36</v>
      </c>
      <c r="F188" s="67" t="s">
        <v>66</v>
      </c>
      <c r="G188" s="67" t="s">
        <v>65</v>
      </c>
      <c r="H188" s="67" t="s">
        <v>91</v>
      </c>
      <c r="I188" s="71">
        <v>3</v>
      </c>
      <c r="J188" s="72">
        <v>13570</v>
      </c>
      <c r="K188" s="73">
        <v>0.1</v>
      </c>
      <c r="L188" s="72">
        <v>9000</v>
      </c>
      <c r="M188" s="68">
        <f t="shared" si="12"/>
        <v>36639</v>
      </c>
      <c r="N188" s="68">
        <f t="shared" si="13"/>
        <v>27000</v>
      </c>
      <c r="O188" s="68">
        <f t="shared" si="14"/>
        <v>9639</v>
      </c>
    </row>
    <row r="189" spans="1:15" x14ac:dyDescent="0.3">
      <c r="A189" s="67" t="s">
        <v>283</v>
      </c>
      <c r="B189" s="70">
        <v>45213</v>
      </c>
      <c r="C189" s="67">
        <f t="shared" si="10"/>
        <v>2023</v>
      </c>
      <c r="D189" s="67" t="str">
        <f t="shared" si="11"/>
        <v>10 Oct</v>
      </c>
      <c r="E189" s="67" t="s">
        <v>45</v>
      </c>
      <c r="F189" s="67" t="s">
        <v>71</v>
      </c>
      <c r="G189" s="67" t="s">
        <v>55</v>
      </c>
      <c r="H189" s="67" t="s">
        <v>87</v>
      </c>
      <c r="I189" s="71">
        <v>22</v>
      </c>
      <c r="J189" s="72">
        <v>440</v>
      </c>
      <c r="K189" s="73">
        <v>0</v>
      </c>
      <c r="L189" s="72">
        <v>250</v>
      </c>
      <c r="M189" s="68">
        <f t="shared" si="12"/>
        <v>9680</v>
      </c>
      <c r="N189" s="68">
        <f t="shared" si="13"/>
        <v>5500</v>
      </c>
      <c r="O189" s="68">
        <f t="shared" si="14"/>
        <v>4180</v>
      </c>
    </row>
    <row r="190" spans="1:15" x14ac:dyDescent="0.3">
      <c r="A190" s="67" t="s">
        <v>284</v>
      </c>
      <c r="B190" s="70">
        <v>45213</v>
      </c>
      <c r="C190" s="67">
        <f t="shared" si="10"/>
        <v>2023</v>
      </c>
      <c r="D190" s="67" t="str">
        <f t="shared" si="11"/>
        <v>10 Oct</v>
      </c>
      <c r="E190" s="67" t="s">
        <v>39</v>
      </c>
      <c r="F190" s="67" t="s">
        <v>66</v>
      </c>
      <c r="G190" s="67" t="s">
        <v>53</v>
      </c>
      <c r="H190" s="67" t="s">
        <v>100</v>
      </c>
      <c r="I190" s="71">
        <v>1</v>
      </c>
      <c r="J190" s="72">
        <v>11200</v>
      </c>
      <c r="K190" s="73">
        <v>0.05</v>
      </c>
      <c r="L190" s="72">
        <v>8000</v>
      </c>
      <c r="M190" s="68">
        <f t="shared" si="12"/>
        <v>10640</v>
      </c>
      <c r="N190" s="68">
        <f t="shared" si="13"/>
        <v>8000</v>
      </c>
      <c r="O190" s="68">
        <f t="shared" si="14"/>
        <v>2640</v>
      </c>
    </row>
    <row r="191" spans="1:15" x14ac:dyDescent="0.3">
      <c r="A191" s="67" t="s">
        <v>285</v>
      </c>
      <c r="B191" s="70">
        <v>45214</v>
      </c>
      <c r="C191" s="67">
        <f t="shared" si="10"/>
        <v>2023</v>
      </c>
      <c r="D191" s="67" t="str">
        <f t="shared" si="11"/>
        <v>10 Oct</v>
      </c>
      <c r="E191" s="67" t="s">
        <v>42</v>
      </c>
      <c r="F191" s="67" t="s">
        <v>71</v>
      </c>
      <c r="G191" s="67" t="s">
        <v>55</v>
      </c>
      <c r="H191" s="67" t="s">
        <v>89</v>
      </c>
      <c r="I191" s="71">
        <v>19</v>
      </c>
      <c r="J191" s="72">
        <v>450</v>
      </c>
      <c r="K191" s="73">
        <v>0</v>
      </c>
      <c r="L191" s="72">
        <v>250</v>
      </c>
      <c r="M191" s="68">
        <f t="shared" si="12"/>
        <v>8550</v>
      </c>
      <c r="N191" s="68">
        <f t="shared" si="13"/>
        <v>4750</v>
      </c>
      <c r="O191" s="68">
        <f t="shared" si="14"/>
        <v>3800</v>
      </c>
    </row>
    <row r="192" spans="1:15" x14ac:dyDescent="0.3">
      <c r="A192" s="67" t="s">
        <v>286</v>
      </c>
      <c r="B192" s="70">
        <v>45215</v>
      </c>
      <c r="C192" s="67">
        <f t="shared" si="10"/>
        <v>2023</v>
      </c>
      <c r="D192" s="67" t="str">
        <f t="shared" si="11"/>
        <v>10 Oct</v>
      </c>
      <c r="E192" s="67" t="s">
        <v>48</v>
      </c>
      <c r="F192" s="67" t="s">
        <v>66</v>
      </c>
      <c r="G192" s="67" t="s">
        <v>53</v>
      </c>
      <c r="H192" s="67" t="s">
        <v>95</v>
      </c>
      <c r="I192" s="71">
        <v>2</v>
      </c>
      <c r="J192" s="72">
        <v>11550</v>
      </c>
      <c r="K192" s="73">
        <v>0.1</v>
      </c>
      <c r="L192" s="72">
        <v>8000</v>
      </c>
      <c r="M192" s="68">
        <f t="shared" si="12"/>
        <v>20790</v>
      </c>
      <c r="N192" s="68">
        <f t="shared" si="13"/>
        <v>16000</v>
      </c>
      <c r="O192" s="68">
        <f t="shared" si="14"/>
        <v>4790</v>
      </c>
    </row>
    <row r="193" spans="1:15" x14ac:dyDescent="0.3">
      <c r="A193" s="67" t="s">
        <v>287</v>
      </c>
      <c r="B193" s="70">
        <v>45216</v>
      </c>
      <c r="C193" s="67">
        <f t="shared" si="10"/>
        <v>2023</v>
      </c>
      <c r="D193" s="67" t="str">
        <f t="shared" si="11"/>
        <v>10 Oct</v>
      </c>
      <c r="E193" s="67" t="s">
        <v>42</v>
      </c>
      <c r="F193" s="67" t="s">
        <v>71</v>
      </c>
      <c r="G193" s="67" t="s">
        <v>44</v>
      </c>
      <c r="H193" s="67" t="s">
        <v>89</v>
      </c>
      <c r="I193" s="71">
        <v>20</v>
      </c>
      <c r="J193" s="72">
        <v>720</v>
      </c>
      <c r="K193" s="73">
        <v>0.1</v>
      </c>
      <c r="L193" s="72">
        <v>380</v>
      </c>
      <c r="M193" s="68">
        <f t="shared" si="12"/>
        <v>12960</v>
      </c>
      <c r="N193" s="68">
        <f t="shared" si="13"/>
        <v>7600</v>
      </c>
      <c r="O193" s="68">
        <f t="shared" si="14"/>
        <v>5360</v>
      </c>
    </row>
    <row r="194" spans="1:15" x14ac:dyDescent="0.3">
      <c r="A194" s="67" t="s">
        <v>288</v>
      </c>
      <c r="B194" s="70">
        <v>45217</v>
      </c>
      <c r="C194" s="67">
        <f t="shared" ref="C194:C257" si="15">YEAR(B194)</f>
        <v>2023</v>
      </c>
      <c r="D194" s="67" t="str">
        <f t="shared" ref="D194:D257" si="16">CHOOSE(MONTH(B194),"01 Jan","02 Feb","03 Mar","04 Apr","05 May","06 Jun","07 Jul","08 Aug","09 Sep","10 Oct","11 Nov","12 Dec")</f>
        <v>10 Oct</v>
      </c>
      <c r="E194" s="67" t="s">
        <v>36</v>
      </c>
      <c r="F194" s="67" t="s">
        <v>70</v>
      </c>
      <c r="G194" s="67" t="s">
        <v>58</v>
      </c>
      <c r="H194" s="67" t="s">
        <v>91</v>
      </c>
      <c r="I194" s="71">
        <v>4</v>
      </c>
      <c r="J194" s="72">
        <v>8920</v>
      </c>
      <c r="K194" s="73">
        <v>0</v>
      </c>
      <c r="L194" s="72">
        <v>6000</v>
      </c>
      <c r="M194" s="68">
        <f t="shared" ref="M194:M257" si="17">I194*J194*(1-K194)</f>
        <v>35680</v>
      </c>
      <c r="N194" s="68">
        <f t="shared" ref="N194:N257" si="18">I194*L194</f>
        <v>24000</v>
      </c>
      <c r="O194" s="68">
        <f t="shared" ref="O194:O257" si="19">M194-N194</f>
        <v>11680</v>
      </c>
    </row>
    <row r="195" spans="1:15" x14ac:dyDescent="0.3">
      <c r="A195" s="67" t="s">
        <v>289</v>
      </c>
      <c r="B195" s="70">
        <v>45220</v>
      </c>
      <c r="C195" s="67">
        <f t="shared" si="15"/>
        <v>2023</v>
      </c>
      <c r="D195" s="67" t="str">
        <f t="shared" si="16"/>
        <v>10 Oct</v>
      </c>
      <c r="E195" s="67" t="s">
        <v>48</v>
      </c>
      <c r="F195" s="67" t="s">
        <v>70</v>
      </c>
      <c r="G195" s="67" t="s">
        <v>58</v>
      </c>
      <c r="H195" s="67" t="s">
        <v>98</v>
      </c>
      <c r="I195" s="71">
        <v>3</v>
      </c>
      <c r="J195" s="72">
        <v>9230</v>
      </c>
      <c r="K195" s="73">
        <v>0</v>
      </c>
      <c r="L195" s="72">
        <v>6000</v>
      </c>
      <c r="M195" s="68">
        <f t="shared" si="17"/>
        <v>27690</v>
      </c>
      <c r="N195" s="68">
        <f t="shared" si="18"/>
        <v>18000</v>
      </c>
      <c r="O195" s="68">
        <f t="shared" si="19"/>
        <v>9690</v>
      </c>
    </row>
    <row r="196" spans="1:15" x14ac:dyDescent="0.3">
      <c r="A196" s="67" t="s">
        <v>290</v>
      </c>
      <c r="B196" s="70">
        <v>45224</v>
      </c>
      <c r="C196" s="67">
        <f t="shared" si="15"/>
        <v>2023</v>
      </c>
      <c r="D196" s="67" t="str">
        <f t="shared" si="16"/>
        <v>10 Oct</v>
      </c>
      <c r="E196" s="67" t="s">
        <v>48</v>
      </c>
      <c r="F196" s="67" t="s">
        <v>66</v>
      </c>
      <c r="G196" s="67" t="s">
        <v>53</v>
      </c>
      <c r="H196" s="67" t="s">
        <v>98</v>
      </c>
      <c r="I196" s="71">
        <v>1</v>
      </c>
      <c r="J196" s="72">
        <v>11020</v>
      </c>
      <c r="K196" s="73">
        <v>0</v>
      </c>
      <c r="L196" s="72">
        <v>8000</v>
      </c>
      <c r="M196" s="68">
        <f t="shared" si="17"/>
        <v>11020</v>
      </c>
      <c r="N196" s="68">
        <f t="shared" si="18"/>
        <v>8000</v>
      </c>
      <c r="O196" s="68">
        <f t="shared" si="19"/>
        <v>3020</v>
      </c>
    </row>
    <row r="197" spans="1:15" x14ac:dyDescent="0.3">
      <c r="A197" s="67" t="s">
        <v>291</v>
      </c>
      <c r="B197" s="70">
        <v>45225</v>
      </c>
      <c r="C197" s="67">
        <f t="shared" si="15"/>
        <v>2023</v>
      </c>
      <c r="D197" s="67" t="str">
        <f t="shared" si="16"/>
        <v>10 Oct</v>
      </c>
      <c r="E197" s="67" t="s">
        <v>36</v>
      </c>
      <c r="F197" s="67" t="s">
        <v>69</v>
      </c>
      <c r="G197" s="67" t="s">
        <v>60</v>
      </c>
      <c r="H197" s="67" t="s">
        <v>114</v>
      </c>
      <c r="I197" s="71">
        <v>2</v>
      </c>
      <c r="J197" s="72">
        <v>23550</v>
      </c>
      <c r="K197" s="73">
        <v>0.05</v>
      </c>
      <c r="L197" s="72">
        <v>18000</v>
      </c>
      <c r="M197" s="68">
        <f t="shared" si="17"/>
        <v>44745</v>
      </c>
      <c r="N197" s="68">
        <f t="shared" si="18"/>
        <v>36000</v>
      </c>
      <c r="O197" s="68">
        <f t="shared" si="19"/>
        <v>8745</v>
      </c>
    </row>
    <row r="198" spans="1:15" x14ac:dyDescent="0.3">
      <c r="A198" s="67" t="s">
        <v>292</v>
      </c>
      <c r="B198" s="70">
        <v>45225</v>
      </c>
      <c r="C198" s="67">
        <f t="shared" si="15"/>
        <v>2023</v>
      </c>
      <c r="D198" s="67" t="str">
        <f t="shared" si="16"/>
        <v>10 Oct</v>
      </c>
      <c r="E198" s="67" t="s">
        <v>42</v>
      </c>
      <c r="F198" s="67" t="s">
        <v>70</v>
      </c>
      <c r="G198" s="67" t="s">
        <v>58</v>
      </c>
      <c r="H198" s="67" t="s">
        <v>89</v>
      </c>
      <c r="I198" s="71">
        <v>5</v>
      </c>
      <c r="J198" s="72">
        <v>8920</v>
      </c>
      <c r="K198" s="73">
        <v>0.1</v>
      </c>
      <c r="L198" s="72">
        <v>6000</v>
      </c>
      <c r="M198" s="68">
        <f t="shared" si="17"/>
        <v>40140</v>
      </c>
      <c r="N198" s="68">
        <f t="shared" si="18"/>
        <v>30000</v>
      </c>
      <c r="O198" s="68">
        <f t="shared" si="19"/>
        <v>10140</v>
      </c>
    </row>
    <row r="199" spans="1:15" x14ac:dyDescent="0.3">
      <c r="A199" s="67" t="s">
        <v>293</v>
      </c>
      <c r="B199" s="70">
        <v>45226</v>
      </c>
      <c r="C199" s="67">
        <f t="shared" si="15"/>
        <v>2023</v>
      </c>
      <c r="D199" s="67" t="str">
        <f t="shared" si="16"/>
        <v>10 Oct</v>
      </c>
      <c r="E199" s="67" t="s">
        <v>39</v>
      </c>
      <c r="F199" s="67" t="s">
        <v>71</v>
      </c>
      <c r="G199" s="67" t="s">
        <v>55</v>
      </c>
      <c r="H199" s="67" t="s">
        <v>107</v>
      </c>
      <c r="I199" s="71">
        <v>38</v>
      </c>
      <c r="J199" s="72">
        <v>440</v>
      </c>
      <c r="K199" s="73">
        <v>0</v>
      </c>
      <c r="L199" s="72">
        <v>250</v>
      </c>
      <c r="M199" s="68">
        <f t="shared" si="17"/>
        <v>16720</v>
      </c>
      <c r="N199" s="68">
        <f t="shared" si="18"/>
        <v>9500</v>
      </c>
      <c r="O199" s="68">
        <f t="shared" si="19"/>
        <v>7220</v>
      </c>
    </row>
    <row r="200" spans="1:15" x14ac:dyDescent="0.3">
      <c r="A200" s="67" t="s">
        <v>294</v>
      </c>
      <c r="B200" s="70">
        <v>45226</v>
      </c>
      <c r="C200" s="67">
        <f t="shared" si="15"/>
        <v>2023</v>
      </c>
      <c r="D200" s="67" t="str">
        <f t="shared" si="16"/>
        <v>10 Oct</v>
      </c>
      <c r="E200" s="67" t="s">
        <v>45</v>
      </c>
      <c r="F200" s="67" t="s">
        <v>70</v>
      </c>
      <c r="G200" s="67" t="s">
        <v>58</v>
      </c>
      <c r="H200" s="67" t="s">
        <v>93</v>
      </c>
      <c r="I200" s="71">
        <v>4</v>
      </c>
      <c r="J200" s="72">
        <v>9150</v>
      </c>
      <c r="K200" s="73">
        <v>0</v>
      </c>
      <c r="L200" s="72">
        <v>6000</v>
      </c>
      <c r="M200" s="68">
        <f t="shared" si="17"/>
        <v>36600</v>
      </c>
      <c r="N200" s="68">
        <f t="shared" si="18"/>
        <v>24000</v>
      </c>
      <c r="O200" s="68">
        <f t="shared" si="19"/>
        <v>12600</v>
      </c>
    </row>
    <row r="201" spans="1:15" x14ac:dyDescent="0.3">
      <c r="A201" s="67" t="s">
        <v>295</v>
      </c>
      <c r="B201" s="70">
        <v>45227</v>
      </c>
      <c r="C201" s="67">
        <f t="shared" si="15"/>
        <v>2023</v>
      </c>
      <c r="D201" s="67" t="str">
        <f t="shared" si="16"/>
        <v>10 Oct</v>
      </c>
      <c r="E201" s="67" t="s">
        <v>42</v>
      </c>
      <c r="F201" s="67" t="s">
        <v>71</v>
      </c>
      <c r="G201" s="67" t="s">
        <v>47</v>
      </c>
      <c r="H201" s="67" t="s">
        <v>112</v>
      </c>
      <c r="I201" s="71">
        <v>34</v>
      </c>
      <c r="J201" s="72">
        <v>310</v>
      </c>
      <c r="K201" s="73">
        <v>0</v>
      </c>
      <c r="L201" s="72">
        <v>160</v>
      </c>
      <c r="M201" s="68">
        <f t="shared" si="17"/>
        <v>10540</v>
      </c>
      <c r="N201" s="68">
        <f t="shared" si="18"/>
        <v>5440</v>
      </c>
      <c r="O201" s="68">
        <f t="shared" si="19"/>
        <v>5100</v>
      </c>
    </row>
    <row r="202" spans="1:15" x14ac:dyDescent="0.3">
      <c r="A202" s="67" t="s">
        <v>296</v>
      </c>
      <c r="B202" s="70">
        <v>45231</v>
      </c>
      <c r="C202" s="67">
        <f t="shared" si="15"/>
        <v>2023</v>
      </c>
      <c r="D202" s="67" t="str">
        <f t="shared" si="16"/>
        <v>11 Nov</v>
      </c>
      <c r="E202" s="67" t="s">
        <v>42</v>
      </c>
      <c r="F202" s="67" t="s">
        <v>71</v>
      </c>
      <c r="G202" s="67" t="s">
        <v>47</v>
      </c>
      <c r="H202" s="67" t="s">
        <v>112</v>
      </c>
      <c r="I202" s="71">
        <v>15</v>
      </c>
      <c r="J202" s="72">
        <v>290</v>
      </c>
      <c r="K202" s="73">
        <v>0.1</v>
      </c>
      <c r="L202" s="72">
        <v>160</v>
      </c>
      <c r="M202" s="68">
        <f t="shared" si="17"/>
        <v>3915</v>
      </c>
      <c r="N202" s="68">
        <f t="shared" si="18"/>
        <v>2400</v>
      </c>
      <c r="O202" s="68">
        <f t="shared" si="19"/>
        <v>1515</v>
      </c>
    </row>
    <row r="203" spans="1:15" x14ac:dyDescent="0.3">
      <c r="A203" s="67" t="s">
        <v>297</v>
      </c>
      <c r="B203" s="70">
        <v>45231</v>
      </c>
      <c r="C203" s="67">
        <f t="shared" si="15"/>
        <v>2023</v>
      </c>
      <c r="D203" s="67" t="str">
        <f t="shared" si="16"/>
        <v>11 Nov</v>
      </c>
      <c r="E203" s="67" t="s">
        <v>45</v>
      </c>
      <c r="F203" s="67" t="s">
        <v>71</v>
      </c>
      <c r="G203" s="67" t="s">
        <v>47</v>
      </c>
      <c r="H203" s="67" t="s">
        <v>87</v>
      </c>
      <c r="I203" s="71">
        <v>50</v>
      </c>
      <c r="J203" s="72">
        <v>290</v>
      </c>
      <c r="K203" s="73">
        <v>0.05</v>
      </c>
      <c r="L203" s="72">
        <v>160</v>
      </c>
      <c r="M203" s="68">
        <f t="shared" si="17"/>
        <v>13775</v>
      </c>
      <c r="N203" s="68">
        <f t="shared" si="18"/>
        <v>8000</v>
      </c>
      <c r="O203" s="68">
        <f t="shared" si="19"/>
        <v>5775</v>
      </c>
    </row>
    <row r="204" spans="1:15" x14ac:dyDescent="0.3">
      <c r="A204" s="67" t="s">
        <v>298</v>
      </c>
      <c r="B204" s="70">
        <v>45232</v>
      </c>
      <c r="C204" s="67">
        <f t="shared" si="15"/>
        <v>2023</v>
      </c>
      <c r="D204" s="67" t="str">
        <f t="shared" si="16"/>
        <v>11 Nov</v>
      </c>
      <c r="E204" s="67" t="s">
        <v>45</v>
      </c>
      <c r="F204" s="67" t="s">
        <v>71</v>
      </c>
      <c r="G204" s="67" t="s">
        <v>44</v>
      </c>
      <c r="H204" s="67" t="s">
        <v>87</v>
      </c>
      <c r="I204" s="71">
        <v>13</v>
      </c>
      <c r="J204" s="72">
        <v>680</v>
      </c>
      <c r="K204" s="73">
        <v>0.05</v>
      </c>
      <c r="L204" s="72">
        <v>380</v>
      </c>
      <c r="M204" s="68">
        <f t="shared" si="17"/>
        <v>8398</v>
      </c>
      <c r="N204" s="68">
        <f t="shared" si="18"/>
        <v>4940</v>
      </c>
      <c r="O204" s="68">
        <f t="shared" si="19"/>
        <v>3458</v>
      </c>
    </row>
    <row r="205" spans="1:15" x14ac:dyDescent="0.3">
      <c r="A205" s="67" t="s">
        <v>299</v>
      </c>
      <c r="B205" s="70">
        <v>45234</v>
      </c>
      <c r="C205" s="67">
        <f t="shared" si="15"/>
        <v>2023</v>
      </c>
      <c r="D205" s="67" t="str">
        <f t="shared" si="16"/>
        <v>11 Nov</v>
      </c>
      <c r="E205" s="67" t="s">
        <v>42</v>
      </c>
      <c r="F205" s="67" t="s">
        <v>71</v>
      </c>
      <c r="G205" s="67" t="s">
        <v>55</v>
      </c>
      <c r="H205" s="67" t="s">
        <v>89</v>
      </c>
      <c r="I205" s="71">
        <v>38</v>
      </c>
      <c r="J205" s="72">
        <v>440</v>
      </c>
      <c r="K205" s="73">
        <v>0.15</v>
      </c>
      <c r="L205" s="72">
        <v>250</v>
      </c>
      <c r="M205" s="68">
        <f t="shared" si="17"/>
        <v>14212</v>
      </c>
      <c r="N205" s="68">
        <f t="shared" si="18"/>
        <v>9500</v>
      </c>
      <c r="O205" s="68">
        <f t="shared" si="19"/>
        <v>4712</v>
      </c>
    </row>
    <row r="206" spans="1:15" x14ac:dyDescent="0.3">
      <c r="A206" s="67" t="s">
        <v>300</v>
      </c>
      <c r="B206" s="70">
        <v>45236</v>
      </c>
      <c r="C206" s="67">
        <f t="shared" si="15"/>
        <v>2023</v>
      </c>
      <c r="D206" s="67" t="str">
        <f t="shared" si="16"/>
        <v>11 Nov</v>
      </c>
      <c r="E206" s="67" t="s">
        <v>45</v>
      </c>
      <c r="F206" s="67" t="s">
        <v>69</v>
      </c>
      <c r="G206" s="67" t="s">
        <v>60</v>
      </c>
      <c r="H206" s="67" t="s">
        <v>93</v>
      </c>
      <c r="I206" s="71">
        <v>2</v>
      </c>
      <c r="J206" s="72">
        <v>23000</v>
      </c>
      <c r="K206" s="73">
        <v>0.15</v>
      </c>
      <c r="L206" s="72">
        <v>18000</v>
      </c>
      <c r="M206" s="68">
        <f t="shared" si="17"/>
        <v>39100</v>
      </c>
      <c r="N206" s="68">
        <f t="shared" si="18"/>
        <v>36000</v>
      </c>
      <c r="O206" s="68">
        <f t="shared" si="19"/>
        <v>3100</v>
      </c>
    </row>
    <row r="207" spans="1:15" x14ac:dyDescent="0.3">
      <c r="A207" s="67" t="s">
        <v>301</v>
      </c>
      <c r="B207" s="70">
        <v>45239</v>
      </c>
      <c r="C207" s="67">
        <f t="shared" si="15"/>
        <v>2023</v>
      </c>
      <c r="D207" s="67" t="str">
        <f t="shared" si="16"/>
        <v>11 Nov</v>
      </c>
      <c r="E207" s="67" t="s">
        <v>42</v>
      </c>
      <c r="F207" s="67" t="s">
        <v>71</v>
      </c>
      <c r="G207" s="67" t="s">
        <v>44</v>
      </c>
      <c r="H207" s="67" t="s">
        <v>112</v>
      </c>
      <c r="I207" s="71">
        <v>16</v>
      </c>
      <c r="J207" s="72">
        <v>700</v>
      </c>
      <c r="K207" s="73">
        <v>0.05</v>
      </c>
      <c r="L207" s="72">
        <v>380</v>
      </c>
      <c r="M207" s="68">
        <f t="shared" si="17"/>
        <v>10640</v>
      </c>
      <c r="N207" s="68">
        <f t="shared" si="18"/>
        <v>6080</v>
      </c>
      <c r="O207" s="68">
        <f t="shared" si="19"/>
        <v>4560</v>
      </c>
    </row>
    <row r="208" spans="1:15" x14ac:dyDescent="0.3">
      <c r="A208" s="67" t="s">
        <v>302</v>
      </c>
      <c r="B208" s="70">
        <v>45242</v>
      </c>
      <c r="C208" s="67">
        <f t="shared" si="15"/>
        <v>2023</v>
      </c>
      <c r="D208" s="67" t="str">
        <f t="shared" si="16"/>
        <v>11 Nov</v>
      </c>
      <c r="E208" s="67" t="s">
        <v>45</v>
      </c>
      <c r="F208" s="67" t="s">
        <v>71</v>
      </c>
      <c r="G208" s="67" t="s">
        <v>44</v>
      </c>
      <c r="H208" s="67" t="s">
        <v>93</v>
      </c>
      <c r="I208" s="71">
        <v>11</v>
      </c>
      <c r="J208" s="72">
        <v>700</v>
      </c>
      <c r="K208" s="73">
        <v>0.05</v>
      </c>
      <c r="L208" s="72">
        <v>380</v>
      </c>
      <c r="M208" s="68">
        <f t="shared" si="17"/>
        <v>7315</v>
      </c>
      <c r="N208" s="68">
        <f t="shared" si="18"/>
        <v>4180</v>
      </c>
      <c r="O208" s="68">
        <f t="shared" si="19"/>
        <v>3135</v>
      </c>
    </row>
    <row r="209" spans="1:15" x14ac:dyDescent="0.3">
      <c r="A209" s="67" t="s">
        <v>303</v>
      </c>
      <c r="B209" s="70">
        <v>45242</v>
      </c>
      <c r="C209" s="67">
        <f t="shared" si="15"/>
        <v>2023</v>
      </c>
      <c r="D209" s="67" t="str">
        <f t="shared" si="16"/>
        <v>11 Nov</v>
      </c>
      <c r="E209" s="67" t="s">
        <v>36</v>
      </c>
      <c r="F209" s="67" t="s">
        <v>71</v>
      </c>
      <c r="G209" s="67" t="s">
        <v>55</v>
      </c>
      <c r="H209" s="67" t="s">
        <v>91</v>
      </c>
      <c r="I209" s="71">
        <v>17</v>
      </c>
      <c r="J209" s="72">
        <v>440</v>
      </c>
      <c r="K209" s="73">
        <v>0</v>
      </c>
      <c r="L209" s="72">
        <v>250</v>
      </c>
      <c r="M209" s="68">
        <f t="shared" si="17"/>
        <v>7480</v>
      </c>
      <c r="N209" s="68">
        <f t="shared" si="18"/>
        <v>4250</v>
      </c>
      <c r="O209" s="68">
        <f t="shared" si="19"/>
        <v>3230</v>
      </c>
    </row>
    <row r="210" spans="1:15" x14ac:dyDescent="0.3">
      <c r="A210" s="67" t="s">
        <v>304</v>
      </c>
      <c r="B210" s="70">
        <v>45246</v>
      </c>
      <c r="C210" s="67">
        <f t="shared" si="15"/>
        <v>2023</v>
      </c>
      <c r="D210" s="67" t="str">
        <f t="shared" si="16"/>
        <v>11 Nov</v>
      </c>
      <c r="E210" s="67" t="s">
        <v>36</v>
      </c>
      <c r="F210" s="67" t="s">
        <v>70</v>
      </c>
      <c r="G210" s="67" t="s">
        <v>58</v>
      </c>
      <c r="H210" s="67" t="s">
        <v>91</v>
      </c>
      <c r="I210" s="71">
        <v>5</v>
      </c>
      <c r="J210" s="72">
        <v>9320</v>
      </c>
      <c r="K210" s="73">
        <v>0.05</v>
      </c>
      <c r="L210" s="72">
        <v>6000</v>
      </c>
      <c r="M210" s="68">
        <f t="shared" si="17"/>
        <v>44270</v>
      </c>
      <c r="N210" s="68">
        <f t="shared" si="18"/>
        <v>30000</v>
      </c>
      <c r="O210" s="68">
        <f t="shared" si="19"/>
        <v>14270</v>
      </c>
    </row>
    <row r="211" spans="1:15" x14ac:dyDescent="0.3">
      <c r="A211" s="67" t="s">
        <v>305</v>
      </c>
      <c r="B211" s="70">
        <v>45246</v>
      </c>
      <c r="C211" s="67">
        <f t="shared" si="15"/>
        <v>2023</v>
      </c>
      <c r="D211" s="67" t="str">
        <f t="shared" si="16"/>
        <v>11 Nov</v>
      </c>
      <c r="E211" s="67" t="s">
        <v>45</v>
      </c>
      <c r="F211" s="67" t="s">
        <v>71</v>
      </c>
      <c r="G211" s="67" t="s">
        <v>44</v>
      </c>
      <c r="H211" s="67" t="s">
        <v>93</v>
      </c>
      <c r="I211" s="71">
        <v>14</v>
      </c>
      <c r="J211" s="72">
        <v>670</v>
      </c>
      <c r="K211" s="73">
        <v>0</v>
      </c>
      <c r="L211" s="72">
        <v>380</v>
      </c>
      <c r="M211" s="68">
        <f t="shared" si="17"/>
        <v>9380</v>
      </c>
      <c r="N211" s="68">
        <f t="shared" si="18"/>
        <v>5320</v>
      </c>
      <c r="O211" s="68">
        <f t="shared" si="19"/>
        <v>4060</v>
      </c>
    </row>
    <row r="212" spans="1:15" x14ac:dyDescent="0.3">
      <c r="A212" s="67" t="s">
        <v>306</v>
      </c>
      <c r="B212" s="70">
        <v>45246</v>
      </c>
      <c r="C212" s="67">
        <f t="shared" si="15"/>
        <v>2023</v>
      </c>
      <c r="D212" s="67" t="str">
        <f t="shared" si="16"/>
        <v>11 Nov</v>
      </c>
      <c r="E212" s="67" t="s">
        <v>39</v>
      </c>
      <c r="F212" s="67" t="s">
        <v>69</v>
      </c>
      <c r="G212" s="67" t="s">
        <v>50</v>
      </c>
      <c r="H212" s="67" t="s">
        <v>107</v>
      </c>
      <c r="I212" s="71">
        <v>1</v>
      </c>
      <c r="J212" s="72">
        <v>57460</v>
      </c>
      <c r="K212" s="73">
        <v>0.15</v>
      </c>
      <c r="L212" s="72">
        <v>42000</v>
      </c>
      <c r="M212" s="68">
        <f t="shared" si="17"/>
        <v>48841</v>
      </c>
      <c r="N212" s="68">
        <f t="shared" si="18"/>
        <v>42000</v>
      </c>
      <c r="O212" s="68">
        <f t="shared" si="19"/>
        <v>6841</v>
      </c>
    </row>
    <row r="213" spans="1:15" x14ac:dyDescent="0.3">
      <c r="A213" s="67" t="s">
        <v>307</v>
      </c>
      <c r="B213" s="70">
        <v>45247</v>
      </c>
      <c r="C213" s="67">
        <f t="shared" si="15"/>
        <v>2023</v>
      </c>
      <c r="D213" s="67" t="str">
        <f t="shared" si="16"/>
        <v>11 Nov</v>
      </c>
      <c r="E213" s="67" t="s">
        <v>45</v>
      </c>
      <c r="F213" s="67" t="s">
        <v>69</v>
      </c>
      <c r="G213" s="67" t="s">
        <v>60</v>
      </c>
      <c r="H213" s="67" t="s">
        <v>87</v>
      </c>
      <c r="I213" s="71">
        <v>3</v>
      </c>
      <c r="J213" s="72">
        <v>23340</v>
      </c>
      <c r="K213" s="73">
        <v>0.15</v>
      </c>
      <c r="L213" s="72">
        <v>18000</v>
      </c>
      <c r="M213" s="68">
        <f t="shared" si="17"/>
        <v>59517</v>
      </c>
      <c r="N213" s="68">
        <f t="shared" si="18"/>
        <v>54000</v>
      </c>
      <c r="O213" s="68">
        <f t="shared" si="19"/>
        <v>5517</v>
      </c>
    </row>
    <row r="214" spans="1:15" x14ac:dyDescent="0.3">
      <c r="A214" s="67" t="s">
        <v>308</v>
      </c>
      <c r="B214" s="70">
        <v>45249</v>
      </c>
      <c r="C214" s="67">
        <f t="shared" si="15"/>
        <v>2023</v>
      </c>
      <c r="D214" s="67" t="str">
        <f t="shared" si="16"/>
        <v>11 Nov</v>
      </c>
      <c r="E214" s="67" t="s">
        <v>42</v>
      </c>
      <c r="F214" s="67" t="s">
        <v>69</v>
      </c>
      <c r="G214" s="67" t="s">
        <v>50</v>
      </c>
      <c r="H214" s="67" t="s">
        <v>89</v>
      </c>
      <c r="I214" s="71">
        <v>1</v>
      </c>
      <c r="J214" s="72">
        <v>55820</v>
      </c>
      <c r="K214" s="73">
        <v>0</v>
      </c>
      <c r="L214" s="72">
        <v>42000</v>
      </c>
      <c r="M214" s="68">
        <f t="shared" si="17"/>
        <v>55820</v>
      </c>
      <c r="N214" s="68">
        <f t="shared" si="18"/>
        <v>42000</v>
      </c>
      <c r="O214" s="68">
        <f t="shared" si="19"/>
        <v>13820</v>
      </c>
    </row>
    <row r="215" spans="1:15" x14ac:dyDescent="0.3">
      <c r="A215" s="67" t="s">
        <v>309</v>
      </c>
      <c r="B215" s="70">
        <v>45251</v>
      </c>
      <c r="C215" s="67">
        <f t="shared" si="15"/>
        <v>2023</v>
      </c>
      <c r="D215" s="67" t="str">
        <f t="shared" si="16"/>
        <v>11 Nov</v>
      </c>
      <c r="E215" s="67" t="s">
        <v>42</v>
      </c>
      <c r="F215" s="67" t="s">
        <v>69</v>
      </c>
      <c r="G215" s="67" t="s">
        <v>68</v>
      </c>
      <c r="H215" s="67" t="s">
        <v>89</v>
      </c>
      <c r="I215" s="71">
        <v>1</v>
      </c>
      <c r="J215" s="72">
        <v>3400</v>
      </c>
      <c r="K215" s="73">
        <v>0</v>
      </c>
      <c r="L215" s="72">
        <v>2000</v>
      </c>
      <c r="M215" s="68">
        <f t="shared" si="17"/>
        <v>3400</v>
      </c>
      <c r="N215" s="68">
        <f t="shared" si="18"/>
        <v>2000</v>
      </c>
      <c r="O215" s="68">
        <f t="shared" si="19"/>
        <v>1400</v>
      </c>
    </row>
    <row r="216" spans="1:15" x14ac:dyDescent="0.3">
      <c r="A216" s="67" t="s">
        <v>310</v>
      </c>
      <c r="B216" s="70">
        <v>45251</v>
      </c>
      <c r="C216" s="67">
        <f t="shared" si="15"/>
        <v>2023</v>
      </c>
      <c r="D216" s="67" t="str">
        <f t="shared" si="16"/>
        <v>11 Nov</v>
      </c>
      <c r="E216" s="67" t="s">
        <v>45</v>
      </c>
      <c r="F216" s="67" t="s">
        <v>69</v>
      </c>
      <c r="G216" s="67" t="s">
        <v>60</v>
      </c>
      <c r="H216" s="67" t="s">
        <v>87</v>
      </c>
      <c r="I216" s="71">
        <v>2</v>
      </c>
      <c r="J216" s="72">
        <v>24150</v>
      </c>
      <c r="K216" s="73">
        <v>0.1</v>
      </c>
      <c r="L216" s="72">
        <v>18000</v>
      </c>
      <c r="M216" s="68">
        <f t="shared" si="17"/>
        <v>43470</v>
      </c>
      <c r="N216" s="68">
        <f t="shared" si="18"/>
        <v>36000</v>
      </c>
      <c r="O216" s="68">
        <f t="shared" si="19"/>
        <v>7470</v>
      </c>
    </row>
    <row r="217" spans="1:15" x14ac:dyDescent="0.3">
      <c r="A217" s="67" t="s">
        <v>311</v>
      </c>
      <c r="B217" s="70">
        <v>45253</v>
      </c>
      <c r="C217" s="67">
        <f t="shared" si="15"/>
        <v>2023</v>
      </c>
      <c r="D217" s="67" t="str">
        <f t="shared" si="16"/>
        <v>11 Nov</v>
      </c>
      <c r="E217" s="67" t="s">
        <v>42</v>
      </c>
      <c r="F217" s="67" t="s">
        <v>69</v>
      </c>
      <c r="G217" s="67" t="s">
        <v>68</v>
      </c>
      <c r="H217" s="67" t="s">
        <v>89</v>
      </c>
      <c r="I217" s="71">
        <v>4</v>
      </c>
      <c r="J217" s="72">
        <v>3600</v>
      </c>
      <c r="K217" s="73">
        <v>0.1</v>
      </c>
      <c r="L217" s="72">
        <v>2000</v>
      </c>
      <c r="M217" s="68">
        <f t="shared" si="17"/>
        <v>12960</v>
      </c>
      <c r="N217" s="68">
        <f t="shared" si="18"/>
        <v>8000</v>
      </c>
      <c r="O217" s="68">
        <f t="shared" si="19"/>
        <v>4960</v>
      </c>
    </row>
    <row r="218" spans="1:15" x14ac:dyDescent="0.3">
      <c r="A218" s="67" t="s">
        <v>312</v>
      </c>
      <c r="B218" s="70">
        <v>45253</v>
      </c>
      <c r="C218" s="67">
        <f t="shared" si="15"/>
        <v>2023</v>
      </c>
      <c r="D218" s="67" t="str">
        <f t="shared" si="16"/>
        <v>11 Nov</v>
      </c>
      <c r="E218" s="67" t="s">
        <v>42</v>
      </c>
      <c r="F218" s="67" t="s">
        <v>69</v>
      </c>
      <c r="G218" s="67" t="s">
        <v>50</v>
      </c>
      <c r="H218" s="67" t="s">
        <v>112</v>
      </c>
      <c r="I218" s="71">
        <v>2</v>
      </c>
      <c r="J218" s="72">
        <v>52860</v>
      </c>
      <c r="K218" s="73">
        <v>0</v>
      </c>
      <c r="L218" s="72">
        <v>42000</v>
      </c>
      <c r="M218" s="68">
        <f t="shared" si="17"/>
        <v>105720</v>
      </c>
      <c r="N218" s="68">
        <f t="shared" si="18"/>
        <v>84000</v>
      </c>
      <c r="O218" s="68">
        <f t="shared" si="19"/>
        <v>21720</v>
      </c>
    </row>
    <row r="219" spans="1:15" x14ac:dyDescent="0.3">
      <c r="A219" s="67" t="s">
        <v>313</v>
      </c>
      <c r="B219" s="70">
        <v>45254</v>
      </c>
      <c r="C219" s="67">
        <f t="shared" si="15"/>
        <v>2023</v>
      </c>
      <c r="D219" s="67" t="str">
        <f t="shared" si="16"/>
        <v>11 Nov</v>
      </c>
      <c r="E219" s="67" t="s">
        <v>36</v>
      </c>
      <c r="F219" s="67" t="s">
        <v>66</v>
      </c>
      <c r="G219" s="67" t="s">
        <v>38</v>
      </c>
      <c r="H219" s="67" t="s">
        <v>114</v>
      </c>
      <c r="I219" s="71">
        <v>3</v>
      </c>
      <c r="J219" s="72">
        <v>14330</v>
      </c>
      <c r="K219" s="73">
        <v>0</v>
      </c>
      <c r="L219" s="72">
        <v>9500</v>
      </c>
      <c r="M219" s="68">
        <f t="shared" si="17"/>
        <v>42990</v>
      </c>
      <c r="N219" s="68">
        <f t="shared" si="18"/>
        <v>28500</v>
      </c>
      <c r="O219" s="68">
        <f t="shared" si="19"/>
        <v>14490</v>
      </c>
    </row>
    <row r="220" spans="1:15" x14ac:dyDescent="0.3">
      <c r="A220" s="67" t="s">
        <v>314</v>
      </c>
      <c r="B220" s="70">
        <v>45255</v>
      </c>
      <c r="C220" s="67">
        <f t="shared" si="15"/>
        <v>2023</v>
      </c>
      <c r="D220" s="67" t="str">
        <f t="shared" si="16"/>
        <v>11 Nov</v>
      </c>
      <c r="E220" s="67" t="s">
        <v>39</v>
      </c>
      <c r="F220" s="67" t="s">
        <v>71</v>
      </c>
      <c r="G220" s="67" t="s">
        <v>55</v>
      </c>
      <c r="H220" s="67" t="s">
        <v>100</v>
      </c>
      <c r="I220" s="71">
        <v>12</v>
      </c>
      <c r="J220" s="72">
        <v>450</v>
      </c>
      <c r="K220" s="73">
        <v>0</v>
      </c>
      <c r="L220" s="72">
        <v>250</v>
      </c>
      <c r="M220" s="68">
        <f t="shared" si="17"/>
        <v>5400</v>
      </c>
      <c r="N220" s="68">
        <f t="shared" si="18"/>
        <v>3000</v>
      </c>
      <c r="O220" s="68">
        <f t="shared" si="19"/>
        <v>2400</v>
      </c>
    </row>
    <row r="221" spans="1:15" x14ac:dyDescent="0.3">
      <c r="A221" s="67" t="s">
        <v>315</v>
      </c>
      <c r="B221" s="70">
        <v>45255</v>
      </c>
      <c r="C221" s="67">
        <f t="shared" si="15"/>
        <v>2023</v>
      </c>
      <c r="D221" s="67" t="str">
        <f t="shared" si="16"/>
        <v>11 Nov</v>
      </c>
      <c r="E221" s="67" t="s">
        <v>42</v>
      </c>
      <c r="F221" s="67" t="s">
        <v>70</v>
      </c>
      <c r="G221" s="67" t="s">
        <v>41</v>
      </c>
      <c r="H221" s="67" t="s">
        <v>112</v>
      </c>
      <c r="I221" s="71">
        <v>3</v>
      </c>
      <c r="J221" s="72">
        <v>6480</v>
      </c>
      <c r="K221" s="73">
        <v>0.05</v>
      </c>
      <c r="L221" s="72">
        <v>4200</v>
      </c>
      <c r="M221" s="68">
        <f t="shared" si="17"/>
        <v>18468</v>
      </c>
      <c r="N221" s="68">
        <f t="shared" si="18"/>
        <v>12600</v>
      </c>
      <c r="O221" s="68">
        <f t="shared" si="19"/>
        <v>5868</v>
      </c>
    </row>
    <row r="222" spans="1:15" x14ac:dyDescent="0.3">
      <c r="A222" s="67" t="s">
        <v>316</v>
      </c>
      <c r="B222" s="70">
        <v>45257</v>
      </c>
      <c r="C222" s="67">
        <f t="shared" si="15"/>
        <v>2023</v>
      </c>
      <c r="D222" s="67" t="str">
        <f t="shared" si="16"/>
        <v>11 Nov</v>
      </c>
      <c r="E222" s="67" t="s">
        <v>45</v>
      </c>
      <c r="F222" s="67" t="s">
        <v>71</v>
      </c>
      <c r="G222" s="67" t="s">
        <v>55</v>
      </c>
      <c r="H222" s="67" t="s">
        <v>87</v>
      </c>
      <c r="I222" s="71">
        <v>38</v>
      </c>
      <c r="J222" s="72">
        <v>430</v>
      </c>
      <c r="K222" s="73">
        <v>0</v>
      </c>
      <c r="L222" s="72">
        <v>250</v>
      </c>
      <c r="M222" s="68">
        <f t="shared" si="17"/>
        <v>16340</v>
      </c>
      <c r="N222" s="68">
        <f t="shared" si="18"/>
        <v>9500</v>
      </c>
      <c r="O222" s="68">
        <f t="shared" si="19"/>
        <v>6840</v>
      </c>
    </row>
    <row r="223" spans="1:15" x14ac:dyDescent="0.3">
      <c r="A223" s="67" t="s">
        <v>317</v>
      </c>
      <c r="B223" s="70">
        <v>45258</v>
      </c>
      <c r="C223" s="67">
        <f t="shared" si="15"/>
        <v>2023</v>
      </c>
      <c r="D223" s="67" t="str">
        <f t="shared" si="16"/>
        <v>11 Nov</v>
      </c>
      <c r="E223" s="67" t="s">
        <v>39</v>
      </c>
      <c r="F223" s="67" t="s">
        <v>66</v>
      </c>
      <c r="G223" s="67" t="s">
        <v>65</v>
      </c>
      <c r="H223" s="67" t="s">
        <v>100</v>
      </c>
      <c r="I223" s="71">
        <v>3</v>
      </c>
      <c r="J223" s="72">
        <v>13220</v>
      </c>
      <c r="K223" s="73">
        <v>0.05</v>
      </c>
      <c r="L223" s="72">
        <v>9000</v>
      </c>
      <c r="M223" s="68">
        <f t="shared" si="17"/>
        <v>37677</v>
      </c>
      <c r="N223" s="68">
        <f t="shared" si="18"/>
        <v>27000</v>
      </c>
      <c r="O223" s="68">
        <f t="shared" si="19"/>
        <v>10677</v>
      </c>
    </row>
    <row r="224" spans="1:15" x14ac:dyDescent="0.3">
      <c r="A224" s="67" t="s">
        <v>318</v>
      </c>
      <c r="B224" s="70">
        <v>45258</v>
      </c>
      <c r="C224" s="67">
        <f t="shared" si="15"/>
        <v>2023</v>
      </c>
      <c r="D224" s="67" t="str">
        <f t="shared" si="16"/>
        <v>11 Nov</v>
      </c>
      <c r="E224" s="67" t="s">
        <v>45</v>
      </c>
      <c r="F224" s="67" t="s">
        <v>71</v>
      </c>
      <c r="G224" s="67" t="s">
        <v>55</v>
      </c>
      <c r="H224" s="67" t="s">
        <v>93</v>
      </c>
      <c r="I224" s="71">
        <v>34</v>
      </c>
      <c r="J224" s="72">
        <v>450</v>
      </c>
      <c r="K224" s="73">
        <v>0.05</v>
      </c>
      <c r="L224" s="72">
        <v>250</v>
      </c>
      <c r="M224" s="68">
        <f t="shared" si="17"/>
        <v>14535</v>
      </c>
      <c r="N224" s="68">
        <f t="shared" si="18"/>
        <v>8500</v>
      </c>
      <c r="O224" s="68">
        <f t="shared" si="19"/>
        <v>6035</v>
      </c>
    </row>
    <row r="225" spans="1:15" x14ac:dyDescent="0.3">
      <c r="A225" s="67" t="s">
        <v>319</v>
      </c>
      <c r="B225" s="70">
        <v>45258</v>
      </c>
      <c r="C225" s="67">
        <f t="shared" si="15"/>
        <v>2023</v>
      </c>
      <c r="D225" s="67" t="str">
        <f t="shared" si="16"/>
        <v>11 Nov</v>
      </c>
      <c r="E225" s="67" t="s">
        <v>36</v>
      </c>
      <c r="F225" s="67" t="s">
        <v>71</v>
      </c>
      <c r="G225" s="67" t="s">
        <v>47</v>
      </c>
      <c r="H225" s="67" t="s">
        <v>114</v>
      </c>
      <c r="I225" s="71">
        <v>23</v>
      </c>
      <c r="J225" s="72">
        <v>310</v>
      </c>
      <c r="K225" s="73">
        <v>0.1</v>
      </c>
      <c r="L225" s="72">
        <v>160</v>
      </c>
      <c r="M225" s="68">
        <f t="shared" si="17"/>
        <v>6417</v>
      </c>
      <c r="N225" s="68">
        <f t="shared" si="18"/>
        <v>3680</v>
      </c>
      <c r="O225" s="68">
        <f t="shared" si="19"/>
        <v>2737</v>
      </c>
    </row>
    <row r="226" spans="1:15" x14ac:dyDescent="0.3">
      <c r="A226" s="67" t="s">
        <v>320</v>
      </c>
      <c r="B226" s="70">
        <v>45258</v>
      </c>
      <c r="C226" s="67">
        <f t="shared" si="15"/>
        <v>2023</v>
      </c>
      <c r="D226" s="67" t="str">
        <f t="shared" si="16"/>
        <v>11 Nov</v>
      </c>
      <c r="E226" s="67" t="s">
        <v>39</v>
      </c>
      <c r="F226" s="67" t="s">
        <v>70</v>
      </c>
      <c r="G226" s="67" t="s">
        <v>58</v>
      </c>
      <c r="H226" s="67" t="s">
        <v>107</v>
      </c>
      <c r="I226" s="71">
        <v>2</v>
      </c>
      <c r="J226" s="72">
        <v>9330</v>
      </c>
      <c r="K226" s="73">
        <v>0.1</v>
      </c>
      <c r="L226" s="72">
        <v>6000</v>
      </c>
      <c r="M226" s="68">
        <f t="shared" si="17"/>
        <v>16794</v>
      </c>
      <c r="N226" s="68">
        <f t="shared" si="18"/>
        <v>12000</v>
      </c>
      <c r="O226" s="68">
        <f t="shared" si="19"/>
        <v>4794</v>
      </c>
    </row>
    <row r="227" spans="1:15" x14ac:dyDescent="0.3">
      <c r="A227" s="67" t="s">
        <v>321</v>
      </c>
      <c r="B227" s="70">
        <v>45262</v>
      </c>
      <c r="C227" s="67">
        <f t="shared" si="15"/>
        <v>2023</v>
      </c>
      <c r="D227" s="67" t="str">
        <f t="shared" si="16"/>
        <v>12 Dec</v>
      </c>
      <c r="E227" s="67" t="s">
        <v>42</v>
      </c>
      <c r="F227" s="67" t="s">
        <v>71</v>
      </c>
      <c r="G227" s="67" t="s">
        <v>44</v>
      </c>
      <c r="H227" s="67" t="s">
        <v>89</v>
      </c>
      <c r="I227" s="71">
        <v>18</v>
      </c>
      <c r="J227" s="72">
        <v>700</v>
      </c>
      <c r="K227" s="73">
        <v>0.05</v>
      </c>
      <c r="L227" s="72">
        <v>380</v>
      </c>
      <c r="M227" s="68">
        <f t="shared" si="17"/>
        <v>11970</v>
      </c>
      <c r="N227" s="68">
        <f t="shared" si="18"/>
        <v>6840</v>
      </c>
      <c r="O227" s="68">
        <f t="shared" si="19"/>
        <v>5130</v>
      </c>
    </row>
    <row r="228" spans="1:15" x14ac:dyDescent="0.3">
      <c r="A228" s="67" t="s">
        <v>322</v>
      </c>
      <c r="B228" s="70">
        <v>45262</v>
      </c>
      <c r="C228" s="67">
        <f t="shared" si="15"/>
        <v>2023</v>
      </c>
      <c r="D228" s="67" t="str">
        <f t="shared" si="16"/>
        <v>12 Dec</v>
      </c>
      <c r="E228" s="67" t="s">
        <v>48</v>
      </c>
      <c r="F228" s="67" t="s">
        <v>69</v>
      </c>
      <c r="G228" s="67" t="s">
        <v>60</v>
      </c>
      <c r="H228" s="67" t="s">
        <v>98</v>
      </c>
      <c r="I228" s="71">
        <v>2</v>
      </c>
      <c r="J228" s="72">
        <v>23550</v>
      </c>
      <c r="K228" s="73">
        <v>0.1</v>
      </c>
      <c r="L228" s="72">
        <v>18000</v>
      </c>
      <c r="M228" s="68">
        <f t="shared" si="17"/>
        <v>42390</v>
      </c>
      <c r="N228" s="68">
        <f t="shared" si="18"/>
        <v>36000</v>
      </c>
      <c r="O228" s="68">
        <f t="shared" si="19"/>
        <v>6390</v>
      </c>
    </row>
    <row r="229" spans="1:15" x14ac:dyDescent="0.3">
      <c r="A229" s="67" t="s">
        <v>323</v>
      </c>
      <c r="B229" s="70">
        <v>45263</v>
      </c>
      <c r="C229" s="67">
        <f t="shared" si="15"/>
        <v>2023</v>
      </c>
      <c r="D229" s="67" t="str">
        <f t="shared" si="16"/>
        <v>12 Dec</v>
      </c>
      <c r="E229" s="67" t="s">
        <v>48</v>
      </c>
      <c r="F229" s="67" t="s">
        <v>70</v>
      </c>
      <c r="G229" s="67" t="s">
        <v>58</v>
      </c>
      <c r="H229" s="67" t="s">
        <v>98</v>
      </c>
      <c r="I229" s="71">
        <v>3</v>
      </c>
      <c r="J229" s="72">
        <v>8760</v>
      </c>
      <c r="K229" s="73">
        <v>0</v>
      </c>
      <c r="L229" s="72">
        <v>6000</v>
      </c>
      <c r="M229" s="68">
        <f t="shared" si="17"/>
        <v>26280</v>
      </c>
      <c r="N229" s="68">
        <f t="shared" si="18"/>
        <v>18000</v>
      </c>
      <c r="O229" s="68">
        <f t="shared" si="19"/>
        <v>8280</v>
      </c>
    </row>
    <row r="230" spans="1:15" x14ac:dyDescent="0.3">
      <c r="A230" s="67" t="s">
        <v>324</v>
      </c>
      <c r="B230" s="70">
        <v>45264</v>
      </c>
      <c r="C230" s="67">
        <f t="shared" si="15"/>
        <v>2023</v>
      </c>
      <c r="D230" s="67" t="str">
        <f t="shared" si="16"/>
        <v>12 Dec</v>
      </c>
      <c r="E230" s="67" t="s">
        <v>39</v>
      </c>
      <c r="F230" s="67" t="s">
        <v>69</v>
      </c>
      <c r="G230" s="67" t="s">
        <v>50</v>
      </c>
      <c r="H230" s="67" t="s">
        <v>100</v>
      </c>
      <c r="I230" s="71">
        <v>2</v>
      </c>
      <c r="J230" s="72">
        <v>54570</v>
      </c>
      <c r="K230" s="73">
        <v>0.1</v>
      </c>
      <c r="L230" s="72">
        <v>42000</v>
      </c>
      <c r="M230" s="68">
        <f t="shared" si="17"/>
        <v>98226</v>
      </c>
      <c r="N230" s="68">
        <f t="shared" si="18"/>
        <v>84000</v>
      </c>
      <c r="O230" s="68">
        <f t="shared" si="19"/>
        <v>14226</v>
      </c>
    </row>
    <row r="231" spans="1:15" x14ac:dyDescent="0.3">
      <c r="A231" s="67" t="s">
        <v>325</v>
      </c>
      <c r="B231" s="70">
        <v>45264</v>
      </c>
      <c r="C231" s="67">
        <f t="shared" si="15"/>
        <v>2023</v>
      </c>
      <c r="D231" s="67" t="str">
        <f t="shared" si="16"/>
        <v>12 Dec</v>
      </c>
      <c r="E231" s="67" t="s">
        <v>48</v>
      </c>
      <c r="F231" s="67" t="s">
        <v>71</v>
      </c>
      <c r="G231" s="67" t="s">
        <v>47</v>
      </c>
      <c r="H231" s="67" t="s">
        <v>95</v>
      </c>
      <c r="I231" s="71">
        <v>34</v>
      </c>
      <c r="J231" s="72">
        <v>300</v>
      </c>
      <c r="K231" s="73">
        <v>0.15</v>
      </c>
      <c r="L231" s="72">
        <v>160</v>
      </c>
      <c r="M231" s="68">
        <f t="shared" si="17"/>
        <v>8670</v>
      </c>
      <c r="N231" s="68">
        <f t="shared" si="18"/>
        <v>5440</v>
      </c>
      <c r="O231" s="68">
        <f t="shared" si="19"/>
        <v>3230</v>
      </c>
    </row>
    <row r="232" spans="1:15" x14ac:dyDescent="0.3">
      <c r="A232" s="67" t="s">
        <v>326</v>
      </c>
      <c r="B232" s="70">
        <v>45264</v>
      </c>
      <c r="C232" s="67">
        <f t="shared" si="15"/>
        <v>2023</v>
      </c>
      <c r="D232" s="67" t="str">
        <f t="shared" si="16"/>
        <v>12 Dec</v>
      </c>
      <c r="E232" s="67" t="s">
        <v>42</v>
      </c>
      <c r="F232" s="67" t="s">
        <v>71</v>
      </c>
      <c r="G232" s="67" t="s">
        <v>44</v>
      </c>
      <c r="H232" s="67" t="s">
        <v>89</v>
      </c>
      <c r="I232" s="71">
        <v>19</v>
      </c>
      <c r="J232" s="72">
        <v>700</v>
      </c>
      <c r="K232" s="73">
        <v>0</v>
      </c>
      <c r="L232" s="72">
        <v>380</v>
      </c>
      <c r="M232" s="68">
        <f t="shared" si="17"/>
        <v>13300</v>
      </c>
      <c r="N232" s="68">
        <f t="shared" si="18"/>
        <v>7220</v>
      </c>
      <c r="O232" s="68">
        <f t="shared" si="19"/>
        <v>6080</v>
      </c>
    </row>
    <row r="233" spans="1:15" x14ac:dyDescent="0.3">
      <c r="A233" s="67" t="s">
        <v>327</v>
      </c>
      <c r="B233" s="70">
        <v>45265</v>
      </c>
      <c r="C233" s="67">
        <f t="shared" si="15"/>
        <v>2023</v>
      </c>
      <c r="D233" s="67" t="str">
        <f t="shared" si="16"/>
        <v>12 Dec</v>
      </c>
      <c r="E233" s="67" t="s">
        <v>45</v>
      </c>
      <c r="F233" s="67" t="s">
        <v>71</v>
      </c>
      <c r="G233" s="67" t="s">
        <v>55</v>
      </c>
      <c r="H233" s="67" t="s">
        <v>93</v>
      </c>
      <c r="I233" s="71">
        <v>37</v>
      </c>
      <c r="J233" s="72">
        <v>460</v>
      </c>
      <c r="K233" s="73">
        <v>0.1</v>
      </c>
      <c r="L233" s="72">
        <v>250</v>
      </c>
      <c r="M233" s="68">
        <f t="shared" si="17"/>
        <v>15318</v>
      </c>
      <c r="N233" s="68">
        <f t="shared" si="18"/>
        <v>9250</v>
      </c>
      <c r="O233" s="68">
        <f t="shared" si="19"/>
        <v>6068</v>
      </c>
    </row>
    <row r="234" spans="1:15" x14ac:dyDescent="0.3">
      <c r="A234" s="67" t="s">
        <v>328</v>
      </c>
      <c r="B234" s="70">
        <v>45265</v>
      </c>
      <c r="C234" s="67">
        <f t="shared" si="15"/>
        <v>2023</v>
      </c>
      <c r="D234" s="67" t="str">
        <f t="shared" si="16"/>
        <v>12 Dec</v>
      </c>
      <c r="E234" s="67" t="s">
        <v>45</v>
      </c>
      <c r="F234" s="67" t="s">
        <v>71</v>
      </c>
      <c r="G234" s="67" t="s">
        <v>55</v>
      </c>
      <c r="H234" s="67" t="s">
        <v>87</v>
      </c>
      <c r="I234" s="71">
        <v>33</v>
      </c>
      <c r="J234" s="72">
        <v>470</v>
      </c>
      <c r="K234" s="73">
        <v>0</v>
      </c>
      <c r="L234" s="72">
        <v>250</v>
      </c>
      <c r="M234" s="68">
        <f t="shared" si="17"/>
        <v>15510</v>
      </c>
      <c r="N234" s="68">
        <f t="shared" si="18"/>
        <v>8250</v>
      </c>
      <c r="O234" s="68">
        <f t="shared" si="19"/>
        <v>7260</v>
      </c>
    </row>
    <row r="235" spans="1:15" x14ac:dyDescent="0.3">
      <c r="A235" s="67" t="s">
        <v>329</v>
      </c>
      <c r="B235" s="70">
        <v>45265</v>
      </c>
      <c r="C235" s="67">
        <f t="shared" si="15"/>
        <v>2023</v>
      </c>
      <c r="D235" s="67" t="str">
        <f t="shared" si="16"/>
        <v>12 Dec</v>
      </c>
      <c r="E235" s="67" t="s">
        <v>45</v>
      </c>
      <c r="F235" s="67" t="s">
        <v>66</v>
      </c>
      <c r="G235" s="67" t="s">
        <v>65</v>
      </c>
      <c r="H235" s="67" t="s">
        <v>87</v>
      </c>
      <c r="I235" s="71">
        <v>2</v>
      </c>
      <c r="J235" s="72">
        <v>13550</v>
      </c>
      <c r="K235" s="73">
        <v>0.05</v>
      </c>
      <c r="L235" s="72">
        <v>9000</v>
      </c>
      <c r="M235" s="68">
        <f t="shared" si="17"/>
        <v>25745</v>
      </c>
      <c r="N235" s="68">
        <f t="shared" si="18"/>
        <v>18000</v>
      </c>
      <c r="O235" s="68">
        <f t="shared" si="19"/>
        <v>7745</v>
      </c>
    </row>
    <row r="236" spans="1:15" x14ac:dyDescent="0.3">
      <c r="A236" s="67" t="s">
        <v>330</v>
      </c>
      <c r="B236" s="70">
        <v>45267</v>
      </c>
      <c r="C236" s="67">
        <f t="shared" si="15"/>
        <v>2023</v>
      </c>
      <c r="D236" s="67" t="str">
        <f t="shared" si="16"/>
        <v>12 Dec</v>
      </c>
      <c r="E236" s="67" t="s">
        <v>48</v>
      </c>
      <c r="F236" s="67" t="s">
        <v>66</v>
      </c>
      <c r="G236" s="67" t="s">
        <v>53</v>
      </c>
      <c r="H236" s="67" t="s">
        <v>95</v>
      </c>
      <c r="I236" s="71">
        <v>2</v>
      </c>
      <c r="J236" s="72">
        <v>10520</v>
      </c>
      <c r="K236" s="73">
        <v>0.05</v>
      </c>
      <c r="L236" s="72">
        <v>8000</v>
      </c>
      <c r="M236" s="68">
        <f t="shared" si="17"/>
        <v>19988</v>
      </c>
      <c r="N236" s="68">
        <f t="shared" si="18"/>
        <v>16000</v>
      </c>
      <c r="O236" s="68">
        <f t="shared" si="19"/>
        <v>3988</v>
      </c>
    </row>
    <row r="237" spans="1:15" x14ac:dyDescent="0.3">
      <c r="A237" s="67" t="s">
        <v>331</v>
      </c>
      <c r="B237" s="70">
        <v>45267</v>
      </c>
      <c r="C237" s="67">
        <f t="shared" si="15"/>
        <v>2023</v>
      </c>
      <c r="D237" s="67" t="str">
        <f t="shared" si="16"/>
        <v>12 Dec</v>
      </c>
      <c r="E237" s="67" t="s">
        <v>36</v>
      </c>
      <c r="F237" s="67" t="s">
        <v>69</v>
      </c>
      <c r="G237" s="67" t="s">
        <v>68</v>
      </c>
      <c r="H237" s="67" t="s">
        <v>114</v>
      </c>
      <c r="I237" s="71">
        <v>6</v>
      </c>
      <c r="J237" s="72">
        <v>3670</v>
      </c>
      <c r="K237" s="73">
        <v>0</v>
      </c>
      <c r="L237" s="72">
        <v>2000</v>
      </c>
      <c r="M237" s="68">
        <f t="shared" si="17"/>
        <v>22020</v>
      </c>
      <c r="N237" s="68">
        <f t="shared" si="18"/>
        <v>12000</v>
      </c>
      <c r="O237" s="68">
        <f t="shared" si="19"/>
        <v>10020</v>
      </c>
    </row>
    <row r="238" spans="1:15" x14ac:dyDescent="0.3">
      <c r="A238" s="67" t="s">
        <v>332</v>
      </c>
      <c r="B238" s="70">
        <v>45267</v>
      </c>
      <c r="C238" s="67">
        <f t="shared" si="15"/>
        <v>2023</v>
      </c>
      <c r="D238" s="67" t="str">
        <f t="shared" si="16"/>
        <v>12 Dec</v>
      </c>
      <c r="E238" s="67" t="s">
        <v>45</v>
      </c>
      <c r="F238" s="67" t="s">
        <v>69</v>
      </c>
      <c r="G238" s="67" t="s">
        <v>60</v>
      </c>
      <c r="H238" s="67" t="s">
        <v>93</v>
      </c>
      <c r="I238" s="71">
        <v>3</v>
      </c>
      <c r="J238" s="72">
        <v>23220</v>
      </c>
      <c r="K238" s="73">
        <v>0.05</v>
      </c>
      <c r="L238" s="72">
        <v>18000</v>
      </c>
      <c r="M238" s="68">
        <f t="shared" si="17"/>
        <v>66177</v>
      </c>
      <c r="N238" s="68">
        <f t="shared" si="18"/>
        <v>54000</v>
      </c>
      <c r="O238" s="68">
        <f t="shared" si="19"/>
        <v>12177</v>
      </c>
    </row>
    <row r="239" spans="1:15" x14ac:dyDescent="0.3">
      <c r="A239" s="67" t="s">
        <v>333</v>
      </c>
      <c r="B239" s="70">
        <v>45270</v>
      </c>
      <c r="C239" s="67">
        <f t="shared" si="15"/>
        <v>2023</v>
      </c>
      <c r="D239" s="67" t="str">
        <f t="shared" si="16"/>
        <v>12 Dec</v>
      </c>
      <c r="E239" s="67" t="s">
        <v>48</v>
      </c>
      <c r="F239" s="67" t="s">
        <v>71</v>
      </c>
      <c r="G239" s="67" t="s">
        <v>44</v>
      </c>
      <c r="H239" s="67" t="s">
        <v>98</v>
      </c>
      <c r="I239" s="71">
        <v>12</v>
      </c>
      <c r="J239" s="72">
        <v>730</v>
      </c>
      <c r="K239" s="73">
        <v>0.05</v>
      </c>
      <c r="L239" s="72">
        <v>380</v>
      </c>
      <c r="M239" s="68">
        <f t="shared" si="17"/>
        <v>8322</v>
      </c>
      <c r="N239" s="68">
        <f t="shared" si="18"/>
        <v>4560</v>
      </c>
      <c r="O239" s="68">
        <f t="shared" si="19"/>
        <v>3762</v>
      </c>
    </row>
    <row r="240" spans="1:15" x14ac:dyDescent="0.3">
      <c r="A240" s="67" t="s">
        <v>334</v>
      </c>
      <c r="B240" s="70">
        <v>45271</v>
      </c>
      <c r="C240" s="67">
        <f t="shared" si="15"/>
        <v>2023</v>
      </c>
      <c r="D240" s="67" t="str">
        <f t="shared" si="16"/>
        <v>12 Dec</v>
      </c>
      <c r="E240" s="67" t="s">
        <v>42</v>
      </c>
      <c r="F240" s="67" t="s">
        <v>66</v>
      </c>
      <c r="G240" s="67" t="s">
        <v>65</v>
      </c>
      <c r="H240" s="67" t="s">
        <v>89</v>
      </c>
      <c r="I240" s="71">
        <v>2</v>
      </c>
      <c r="J240" s="72">
        <v>14160</v>
      </c>
      <c r="K240" s="73">
        <v>0</v>
      </c>
      <c r="L240" s="72">
        <v>9000</v>
      </c>
      <c r="M240" s="68">
        <f t="shared" si="17"/>
        <v>28320</v>
      </c>
      <c r="N240" s="68">
        <f t="shared" si="18"/>
        <v>18000</v>
      </c>
      <c r="O240" s="68">
        <f t="shared" si="19"/>
        <v>10320</v>
      </c>
    </row>
    <row r="241" spans="1:15" x14ac:dyDescent="0.3">
      <c r="A241" s="67" t="s">
        <v>335</v>
      </c>
      <c r="B241" s="70">
        <v>45271</v>
      </c>
      <c r="C241" s="67">
        <f t="shared" si="15"/>
        <v>2023</v>
      </c>
      <c r="D241" s="67" t="str">
        <f t="shared" si="16"/>
        <v>12 Dec</v>
      </c>
      <c r="E241" s="67" t="s">
        <v>48</v>
      </c>
      <c r="F241" s="67" t="s">
        <v>71</v>
      </c>
      <c r="G241" s="67" t="s">
        <v>55</v>
      </c>
      <c r="H241" s="67" t="s">
        <v>95</v>
      </c>
      <c r="I241" s="71">
        <v>13</v>
      </c>
      <c r="J241" s="72">
        <v>430</v>
      </c>
      <c r="K241" s="73">
        <v>0</v>
      </c>
      <c r="L241" s="72">
        <v>250</v>
      </c>
      <c r="M241" s="68">
        <f t="shared" si="17"/>
        <v>5590</v>
      </c>
      <c r="N241" s="68">
        <f t="shared" si="18"/>
        <v>3250</v>
      </c>
      <c r="O241" s="68">
        <f t="shared" si="19"/>
        <v>2340</v>
      </c>
    </row>
    <row r="242" spans="1:15" x14ac:dyDescent="0.3">
      <c r="A242" s="67" t="s">
        <v>336</v>
      </c>
      <c r="B242" s="70">
        <v>45272</v>
      </c>
      <c r="C242" s="67">
        <f t="shared" si="15"/>
        <v>2023</v>
      </c>
      <c r="D242" s="67" t="str">
        <f t="shared" si="16"/>
        <v>12 Dec</v>
      </c>
      <c r="E242" s="67" t="s">
        <v>42</v>
      </c>
      <c r="F242" s="67" t="s">
        <v>69</v>
      </c>
      <c r="G242" s="67" t="s">
        <v>50</v>
      </c>
      <c r="H242" s="67" t="s">
        <v>89</v>
      </c>
      <c r="I242" s="71">
        <v>2</v>
      </c>
      <c r="J242" s="72">
        <v>53370</v>
      </c>
      <c r="K242" s="73">
        <v>0.05</v>
      </c>
      <c r="L242" s="72">
        <v>42000</v>
      </c>
      <c r="M242" s="68">
        <f t="shared" si="17"/>
        <v>101403</v>
      </c>
      <c r="N242" s="68">
        <f t="shared" si="18"/>
        <v>84000</v>
      </c>
      <c r="O242" s="68">
        <f t="shared" si="19"/>
        <v>17403</v>
      </c>
    </row>
    <row r="243" spans="1:15" x14ac:dyDescent="0.3">
      <c r="A243" s="67" t="s">
        <v>337</v>
      </c>
      <c r="B243" s="70">
        <v>45273</v>
      </c>
      <c r="C243" s="67">
        <f t="shared" si="15"/>
        <v>2023</v>
      </c>
      <c r="D243" s="67" t="str">
        <f t="shared" si="16"/>
        <v>12 Dec</v>
      </c>
      <c r="E243" s="67" t="s">
        <v>48</v>
      </c>
      <c r="F243" s="67" t="s">
        <v>66</v>
      </c>
      <c r="G243" s="67" t="s">
        <v>53</v>
      </c>
      <c r="H243" s="67" t="s">
        <v>98</v>
      </c>
      <c r="I243" s="71">
        <v>2</v>
      </c>
      <c r="J243" s="72">
        <v>10650</v>
      </c>
      <c r="K243" s="73">
        <v>0.15</v>
      </c>
      <c r="L243" s="72">
        <v>8000</v>
      </c>
      <c r="M243" s="68">
        <f t="shared" si="17"/>
        <v>18105</v>
      </c>
      <c r="N243" s="68">
        <f t="shared" si="18"/>
        <v>16000</v>
      </c>
      <c r="O243" s="68">
        <f t="shared" si="19"/>
        <v>2105</v>
      </c>
    </row>
    <row r="244" spans="1:15" x14ac:dyDescent="0.3">
      <c r="A244" s="67" t="s">
        <v>338</v>
      </c>
      <c r="B244" s="70">
        <v>45273</v>
      </c>
      <c r="C244" s="67">
        <f t="shared" si="15"/>
        <v>2023</v>
      </c>
      <c r="D244" s="67" t="str">
        <f t="shared" si="16"/>
        <v>12 Dec</v>
      </c>
      <c r="E244" s="67" t="s">
        <v>42</v>
      </c>
      <c r="F244" s="67" t="s">
        <v>71</v>
      </c>
      <c r="G244" s="67" t="s">
        <v>44</v>
      </c>
      <c r="H244" s="67" t="s">
        <v>89</v>
      </c>
      <c r="I244" s="71">
        <v>9</v>
      </c>
      <c r="J244" s="72">
        <v>710</v>
      </c>
      <c r="K244" s="73">
        <v>0.05</v>
      </c>
      <c r="L244" s="72">
        <v>380</v>
      </c>
      <c r="M244" s="68">
        <f t="shared" si="17"/>
        <v>6070.5</v>
      </c>
      <c r="N244" s="68">
        <f t="shared" si="18"/>
        <v>3420</v>
      </c>
      <c r="O244" s="68">
        <f t="shared" si="19"/>
        <v>2650.5</v>
      </c>
    </row>
    <row r="245" spans="1:15" x14ac:dyDescent="0.3">
      <c r="A245" s="67" t="s">
        <v>339</v>
      </c>
      <c r="B245" s="70">
        <v>45274</v>
      </c>
      <c r="C245" s="67">
        <f t="shared" si="15"/>
        <v>2023</v>
      </c>
      <c r="D245" s="67" t="str">
        <f t="shared" si="16"/>
        <v>12 Dec</v>
      </c>
      <c r="E245" s="67" t="s">
        <v>36</v>
      </c>
      <c r="F245" s="67" t="s">
        <v>70</v>
      </c>
      <c r="G245" s="67" t="s">
        <v>58</v>
      </c>
      <c r="H245" s="67" t="s">
        <v>91</v>
      </c>
      <c r="I245" s="71">
        <v>5</v>
      </c>
      <c r="J245" s="72">
        <v>9340</v>
      </c>
      <c r="K245" s="73">
        <v>0.05</v>
      </c>
      <c r="L245" s="72">
        <v>6000</v>
      </c>
      <c r="M245" s="68">
        <f t="shared" si="17"/>
        <v>44365</v>
      </c>
      <c r="N245" s="68">
        <f t="shared" si="18"/>
        <v>30000</v>
      </c>
      <c r="O245" s="68">
        <f t="shared" si="19"/>
        <v>14365</v>
      </c>
    </row>
    <row r="246" spans="1:15" x14ac:dyDescent="0.3">
      <c r="A246" s="67" t="s">
        <v>340</v>
      </c>
      <c r="B246" s="70">
        <v>45277</v>
      </c>
      <c r="C246" s="67">
        <f t="shared" si="15"/>
        <v>2023</v>
      </c>
      <c r="D246" s="67" t="str">
        <f t="shared" si="16"/>
        <v>12 Dec</v>
      </c>
      <c r="E246" s="67" t="s">
        <v>48</v>
      </c>
      <c r="F246" s="67" t="s">
        <v>70</v>
      </c>
      <c r="G246" s="67" t="s">
        <v>41</v>
      </c>
      <c r="H246" s="67" t="s">
        <v>95</v>
      </c>
      <c r="I246" s="71">
        <v>1</v>
      </c>
      <c r="J246" s="72">
        <v>6190</v>
      </c>
      <c r="K246" s="73">
        <v>0.15</v>
      </c>
      <c r="L246" s="72">
        <v>4200</v>
      </c>
      <c r="M246" s="68">
        <f t="shared" si="17"/>
        <v>5261.5</v>
      </c>
      <c r="N246" s="68">
        <f t="shared" si="18"/>
        <v>4200</v>
      </c>
      <c r="O246" s="68">
        <f t="shared" si="19"/>
        <v>1061.5</v>
      </c>
    </row>
    <row r="247" spans="1:15" x14ac:dyDescent="0.3">
      <c r="A247" s="67" t="s">
        <v>341</v>
      </c>
      <c r="B247" s="70">
        <v>45279</v>
      </c>
      <c r="C247" s="67">
        <f t="shared" si="15"/>
        <v>2023</v>
      </c>
      <c r="D247" s="67" t="str">
        <f t="shared" si="16"/>
        <v>12 Dec</v>
      </c>
      <c r="E247" s="67" t="s">
        <v>42</v>
      </c>
      <c r="F247" s="67" t="s">
        <v>66</v>
      </c>
      <c r="G247" s="67" t="s">
        <v>53</v>
      </c>
      <c r="H247" s="67" t="s">
        <v>89</v>
      </c>
      <c r="I247" s="71">
        <v>2</v>
      </c>
      <c r="J247" s="72">
        <v>10560</v>
      </c>
      <c r="K247" s="73">
        <v>0.15</v>
      </c>
      <c r="L247" s="72">
        <v>8000</v>
      </c>
      <c r="M247" s="68">
        <f t="shared" si="17"/>
        <v>17952</v>
      </c>
      <c r="N247" s="68">
        <f t="shared" si="18"/>
        <v>16000</v>
      </c>
      <c r="O247" s="68">
        <f t="shared" si="19"/>
        <v>1952</v>
      </c>
    </row>
    <row r="248" spans="1:15" x14ac:dyDescent="0.3">
      <c r="A248" s="67" t="s">
        <v>342</v>
      </c>
      <c r="B248" s="70">
        <v>45280</v>
      </c>
      <c r="C248" s="67">
        <f t="shared" si="15"/>
        <v>2023</v>
      </c>
      <c r="D248" s="67" t="str">
        <f t="shared" si="16"/>
        <v>12 Dec</v>
      </c>
      <c r="E248" s="67" t="s">
        <v>48</v>
      </c>
      <c r="F248" s="67" t="s">
        <v>70</v>
      </c>
      <c r="G248" s="67" t="s">
        <v>41</v>
      </c>
      <c r="H248" s="67" t="s">
        <v>95</v>
      </c>
      <c r="I248" s="71">
        <v>1</v>
      </c>
      <c r="J248" s="72">
        <v>6720</v>
      </c>
      <c r="K248" s="73">
        <v>0</v>
      </c>
      <c r="L248" s="72">
        <v>4200</v>
      </c>
      <c r="M248" s="68">
        <f t="shared" si="17"/>
        <v>6720</v>
      </c>
      <c r="N248" s="68">
        <f t="shared" si="18"/>
        <v>4200</v>
      </c>
      <c r="O248" s="68">
        <f t="shared" si="19"/>
        <v>2520</v>
      </c>
    </row>
    <row r="249" spans="1:15" x14ac:dyDescent="0.3">
      <c r="A249" s="67" t="s">
        <v>343</v>
      </c>
      <c r="B249" s="70">
        <v>45280</v>
      </c>
      <c r="C249" s="67">
        <f t="shared" si="15"/>
        <v>2023</v>
      </c>
      <c r="D249" s="67" t="str">
        <f t="shared" si="16"/>
        <v>12 Dec</v>
      </c>
      <c r="E249" s="67" t="s">
        <v>39</v>
      </c>
      <c r="F249" s="67" t="s">
        <v>71</v>
      </c>
      <c r="G249" s="67" t="s">
        <v>47</v>
      </c>
      <c r="H249" s="67" t="s">
        <v>107</v>
      </c>
      <c r="I249" s="71">
        <v>37</v>
      </c>
      <c r="J249" s="72">
        <v>310</v>
      </c>
      <c r="K249" s="73">
        <v>0.1</v>
      </c>
      <c r="L249" s="72">
        <v>160</v>
      </c>
      <c r="M249" s="68">
        <f t="shared" si="17"/>
        <v>10323</v>
      </c>
      <c r="N249" s="68">
        <f t="shared" si="18"/>
        <v>5920</v>
      </c>
      <c r="O249" s="68">
        <f t="shared" si="19"/>
        <v>4403</v>
      </c>
    </row>
    <row r="250" spans="1:15" x14ac:dyDescent="0.3">
      <c r="A250" s="67" t="s">
        <v>344</v>
      </c>
      <c r="B250" s="70">
        <v>45281</v>
      </c>
      <c r="C250" s="67">
        <f t="shared" si="15"/>
        <v>2023</v>
      </c>
      <c r="D250" s="67" t="str">
        <f t="shared" si="16"/>
        <v>12 Dec</v>
      </c>
      <c r="E250" s="67" t="s">
        <v>39</v>
      </c>
      <c r="F250" s="67" t="s">
        <v>66</v>
      </c>
      <c r="G250" s="67" t="s">
        <v>65</v>
      </c>
      <c r="H250" s="67" t="s">
        <v>107</v>
      </c>
      <c r="I250" s="71">
        <v>1</v>
      </c>
      <c r="J250" s="72">
        <v>14140</v>
      </c>
      <c r="K250" s="73">
        <v>0</v>
      </c>
      <c r="L250" s="72">
        <v>9000</v>
      </c>
      <c r="M250" s="68">
        <f t="shared" si="17"/>
        <v>14140</v>
      </c>
      <c r="N250" s="68">
        <f t="shared" si="18"/>
        <v>9000</v>
      </c>
      <c r="O250" s="68">
        <f t="shared" si="19"/>
        <v>5140</v>
      </c>
    </row>
    <row r="251" spans="1:15" x14ac:dyDescent="0.3">
      <c r="A251" s="67" t="s">
        <v>345</v>
      </c>
      <c r="B251" s="70">
        <v>45281</v>
      </c>
      <c r="C251" s="67">
        <f t="shared" si="15"/>
        <v>2023</v>
      </c>
      <c r="D251" s="67" t="str">
        <f t="shared" si="16"/>
        <v>12 Dec</v>
      </c>
      <c r="E251" s="67" t="s">
        <v>48</v>
      </c>
      <c r="F251" s="67" t="s">
        <v>69</v>
      </c>
      <c r="G251" s="67" t="s">
        <v>60</v>
      </c>
      <c r="H251" s="67" t="s">
        <v>95</v>
      </c>
      <c r="I251" s="71">
        <v>1</v>
      </c>
      <c r="J251" s="72">
        <v>24590</v>
      </c>
      <c r="K251" s="73">
        <v>0</v>
      </c>
      <c r="L251" s="72">
        <v>18000</v>
      </c>
      <c r="M251" s="68">
        <f t="shared" si="17"/>
        <v>24590</v>
      </c>
      <c r="N251" s="68">
        <f t="shared" si="18"/>
        <v>18000</v>
      </c>
      <c r="O251" s="68">
        <f t="shared" si="19"/>
        <v>6590</v>
      </c>
    </row>
    <row r="252" spans="1:15" x14ac:dyDescent="0.3">
      <c r="A252" s="67" t="s">
        <v>346</v>
      </c>
      <c r="B252" s="70">
        <v>45281</v>
      </c>
      <c r="C252" s="67">
        <f t="shared" si="15"/>
        <v>2023</v>
      </c>
      <c r="D252" s="67" t="str">
        <f t="shared" si="16"/>
        <v>12 Dec</v>
      </c>
      <c r="E252" s="67" t="s">
        <v>36</v>
      </c>
      <c r="F252" s="67" t="s">
        <v>69</v>
      </c>
      <c r="G252" s="67" t="s">
        <v>60</v>
      </c>
      <c r="H252" s="67" t="s">
        <v>114</v>
      </c>
      <c r="I252" s="71">
        <v>2</v>
      </c>
      <c r="J252" s="72">
        <v>24520</v>
      </c>
      <c r="K252" s="73">
        <v>0.05</v>
      </c>
      <c r="L252" s="72">
        <v>18000</v>
      </c>
      <c r="M252" s="68">
        <f t="shared" si="17"/>
        <v>46588</v>
      </c>
      <c r="N252" s="68">
        <f t="shared" si="18"/>
        <v>36000</v>
      </c>
      <c r="O252" s="68">
        <f t="shared" si="19"/>
        <v>10588</v>
      </c>
    </row>
    <row r="253" spans="1:15" x14ac:dyDescent="0.3">
      <c r="A253" s="67" t="s">
        <v>347</v>
      </c>
      <c r="B253" s="70">
        <v>45281</v>
      </c>
      <c r="C253" s="67">
        <f t="shared" si="15"/>
        <v>2023</v>
      </c>
      <c r="D253" s="67" t="str">
        <f t="shared" si="16"/>
        <v>12 Dec</v>
      </c>
      <c r="E253" s="67" t="s">
        <v>45</v>
      </c>
      <c r="F253" s="67" t="s">
        <v>71</v>
      </c>
      <c r="G253" s="67" t="s">
        <v>44</v>
      </c>
      <c r="H253" s="67" t="s">
        <v>93</v>
      </c>
      <c r="I253" s="71">
        <v>9</v>
      </c>
      <c r="J253" s="72">
        <v>680</v>
      </c>
      <c r="K253" s="73">
        <v>0.05</v>
      </c>
      <c r="L253" s="72">
        <v>380</v>
      </c>
      <c r="M253" s="68">
        <f t="shared" si="17"/>
        <v>5814</v>
      </c>
      <c r="N253" s="68">
        <f t="shared" si="18"/>
        <v>3420</v>
      </c>
      <c r="O253" s="68">
        <f t="shared" si="19"/>
        <v>2394</v>
      </c>
    </row>
    <row r="254" spans="1:15" x14ac:dyDescent="0.3">
      <c r="A254" s="67" t="s">
        <v>348</v>
      </c>
      <c r="B254" s="70">
        <v>45282</v>
      </c>
      <c r="C254" s="67">
        <f t="shared" si="15"/>
        <v>2023</v>
      </c>
      <c r="D254" s="67" t="str">
        <f t="shared" si="16"/>
        <v>12 Dec</v>
      </c>
      <c r="E254" s="67" t="s">
        <v>36</v>
      </c>
      <c r="F254" s="67" t="s">
        <v>66</v>
      </c>
      <c r="G254" s="67" t="s">
        <v>38</v>
      </c>
      <c r="H254" s="67" t="s">
        <v>114</v>
      </c>
      <c r="I254" s="71">
        <v>1</v>
      </c>
      <c r="J254" s="72">
        <v>13510</v>
      </c>
      <c r="K254" s="73">
        <v>0.1</v>
      </c>
      <c r="L254" s="72">
        <v>9500</v>
      </c>
      <c r="M254" s="68">
        <f t="shared" si="17"/>
        <v>12159</v>
      </c>
      <c r="N254" s="68">
        <f t="shared" si="18"/>
        <v>9500</v>
      </c>
      <c r="O254" s="68">
        <f t="shared" si="19"/>
        <v>2659</v>
      </c>
    </row>
    <row r="255" spans="1:15" x14ac:dyDescent="0.3">
      <c r="A255" s="67" t="s">
        <v>349</v>
      </c>
      <c r="B255" s="70">
        <v>45282</v>
      </c>
      <c r="C255" s="67">
        <f t="shared" si="15"/>
        <v>2023</v>
      </c>
      <c r="D255" s="67" t="str">
        <f t="shared" si="16"/>
        <v>12 Dec</v>
      </c>
      <c r="E255" s="67" t="s">
        <v>48</v>
      </c>
      <c r="F255" s="67" t="s">
        <v>70</v>
      </c>
      <c r="G255" s="67" t="s">
        <v>62</v>
      </c>
      <c r="H255" s="67" t="s">
        <v>95</v>
      </c>
      <c r="I255" s="71">
        <v>1</v>
      </c>
      <c r="J255" s="72">
        <v>17970</v>
      </c>
      <c r="K255" s="73">
        <v>0.05</v>
      </c>
      <c r="L255" s="72">
        <v>12500</v>
      </c>
      <c r="M255" s="68">
        <f t="shared" si="17"/>
        <v>17071.5</v>
      </c>
      <c r="N255" s="68">
        <f t="shared" si="18"/>
        <v>12500</v>
      </c>
      <c r="O255" s="68">
        <f t="shared" si="19"/>
        <v>4571.5</v>
      </c>
    </row>
    <row r="256" spans="1:15" x14ac:dyDescent="0.3">
      <c r="A256" s="67" t="s">
        <v>350</v>
      </c>
      <c r="B256" s="70">
        <v>45283</v>
      </c>
      <c r="C256" s="67">
        <f t="shared" si="15"/>
        <v>2023</v>
      </c>
      <c r="D256" s="67" t="str">
        <f t="shared" si="16"/>
        <v>12 Dec</v>
      </c>
      <c r="E256" s="67" t="s">
        <v>45</v>
      </c>
      <c r="F256" s="67" t="s">
        <v>70</v>
      </c>
      <c r="G256" s="67" t="s">
        <v>41</v>
      </c>
      <c r="H256" s="67" t="s">
        <v>93</v>
      </c>
      <c r="I256" s="71">
        <v>2</v>
      </c>
      <c r="J256" s="72">
        <v>6720</v>
      </c>
      <c r="K256" s="73">
        <v>0.05</v>
      </c>
      <c r="L256" s="72">
        <v>4200</v>
      </c>
      <c r="M256" s="68">
        <f t="shared" si="17"/>
        <v>12768</v>
      </c>
      <c r="N256" s="68">
        <f t="shared" si="18"/>
        <v>8400</v>
      </c>
      <c r="O256" s="68">
        <f t="shared" si="19"/>
        <v>4368</v>
      </c>
    </row>
    <row r="257" spans="1:15" x14ac:dyDescent="0.3">
      <c r="A257" s="67" t="s">
        <v>351</v>
      </c>
      <c r="B257" s="70">
        <v>45283</v>
      </c>
      <c r="C257" s="67">
        <f t="shared" si="15"/>
        <v>2023</v>
      </c>
      <c r="D257" s="67" t="str">
        <f t="shared" si="16"/>
        <v>12 Dec</v>
      </c>
      <c r="E257" s="67" t="s">
        <v>48</v>
      </c>
      <c r="F257" s="67" t="s">
        <v>71</v>
      </c>
      <c r="G257" s="67" t="s">
        <v>44</v>
      </c>
      <c r="H257" s="67" t="s">
        <v>98</v>
      </c>
      <c r="I257" s="71">
        <v>6</v>
      </c>
      <c r="J257" s="72">
        <v>710</v>
      </c>
      <c r="K257" s="73">
        <v>0</v>
      </c>
      <c r="L257" s="72">
        <v>380</v>
      </c>
      <c r="M257" s="68">
        <f t="shared" si="17"/>
        <v>4260</v>
      </c>
      <c r="N257" s="68">
        <f t="shared" si="18"/>
        <v>2280</v>
      </c>
      <c r="O257" s="68">
        <f t="shared" si="19"/>
        <v>1980</v>
      </c>
    </row>
    <row r="258" spans="1:15" x14ac:dyDescent="0.3">
      <c r="A258" s="67" t="s">
        <v>352</v>
      </c>
      <c r="B258" s="70">
        <v>45284</v>
      </c>
      <c r="C258" s="67">
        <f t="shared" ref="C258:C321" si="20">YEAR(B258)</f>
        <v>2023</v>
      </c>
      <c r="D258" s="67" t="str">
        <f t="shared" ref="D258:D321" si="21">CHOOSE(MONTH(B258),"01 Jan","02 Feb","03 Mar","04 Apr","05 May","06 Jun","07 Jul","08 Aug","09 Sep","10 Oct","11 Nov","12 Dec")</f>
        <v>12 Dec</v>
      </c>
      <c r="E258" s="67" t="s">
        <v>45</v>
      </c>
      <c r="F258" s="67" t="s">
        <v>70</v>
      </c>
      <c r="G258" s="67" t="s">
        <v>58</v>
      </c>
      <c r="H258" s="67" t="s">
        <v>93</v>
      </c>
      <c r="I258" s="71">
        <v>2</v>
      </c>
      <c r="J258" s="72">
        <v>9440</v>
      </c>
      <c r="K258" s="73">
        <v>0</v>
      </c>
      <c r="L258" s="72">
        <v>6000</v>
      </c>
      <c r="M258" s="68">
        <f t="shared" ref="M258:M321" si="22">I258*J258*(1-K258)</f>
        <v>18880</v>
      </c>
      <c r="N258" s="68">
        <f t="shared" ref="N258:N321" si="23">I258*L258</f>
        <v>12000</v>
      </c>
      <c r="O258" s="68">
        <f t="shared" ref="O258:O321" si="24">M258-N258</f>
        <v>6880</v>
      </c>
    </row>
    <row r="259" spans="1:15" x14ac:dyDescent="0.3">
      <c r="A259" s="67" t="s">
        <v>353</v>
      </c>
      <c r="B259" s="70">
        <v>45284</v>
      </c>
      <c r="C259" s="67">
        <f t="shared" si="20"/>
        <v>2023</v>
      </c>
      <c r="D259" s="67" t="str">
        <f t="shared" si="21"/>
        <v>12 Dec</v>
      </c>
      <c r="E259" s="67" t="s">
        <v>48</v>
      </c>
      <c r="F259" s="67" t="s">
        <v>69</v>
      </c>
      <c r="G259" s="67" t="s">
        <v>60</v>
      </c>
      <c r="H259" s="67" t="s">
        <v>95</v>
      </c>
      <c r="I259" s="71">
        <v>2</v>
      </c>
      <c r="J259" s="72">
        <v>25100</v>
      </c>
      <c r="K259" s="73">
        <v>0.15</v>
      </c>
      <c r="L259" s="72">
        <v>18000</v>
      </c>
      <c r="M259" s="68">
        <f t="shared" si="22"/>
        <v>42670</v>
      </c>
      <c r="N259" s="68">
        <f t="shared" si="23"/>
        <v>36000</v>
      </c>
      <c r="O259" s="68">
        <f t="shared" si="24"/>
        <v>6670</v>
      </c>
    </row>
    <row r="260" spans="1:15" x14ac:dyDescent="0.3">
      <c r="A260" s="67" t="s">
        <v>354</v>
      </c>
      <c r="B260" s="70">
        <v>45286</v>
      </c>
      <c r="C260" s="67">
        <f t="shared" si="20"/>
        <v>2023</v>
      </c>
      <c r="D260" s="67" t="str">
        <f t="shared" si="21"/>
        <v>12 Dec</v>
      </c>
      <c r="E260" s="67" t="s">
        <v>48</v>
      </c>
      <c r="F260" s="67" t="s">
        <v>69</v>
      </c>
      <c r="G260" s="67" t="s">
        <v>60</v>
      </c>
      <c r="H260" s="67" t="s">
        <v>95</v>
      </c>
      <c r="I260" s="71">
        <v>3</v>
      </c>
      <c r="J260" s="72">
        <v>23600</v>
      </c>
      <c r="K260" s="73">
        <v>0.15</v>
      </c>
      <c r="L260" s="72">
        <v>18000</v>
      </c>
      <c r="M260" s="68">
        <f t="shared" si="22"/>
        <v>60180</v>
      </c>
      <c r="N260" s="68">
        <f t="shared" si="23"/>
        <v>54000</v>
      </c>
      <c r="O260" s="68">
        <f t="shared" si="24"/>
        <v>6180</v>
      </c>
    </row>
    <row r="261" spans="1:15" x14ac:dyDescent="0.3">
      <c r="A261" s="67" t="s">
        <v>355</v>
      </c>
      <c r="B261" s="70">
        <v>45287</v>
      </c>
      <c r="C261" s="67">
        <f t="shared" si="20"/>
        <v>2023</v>
      </c>
      <c r="D261" s="67" t="str">
        <f t="shared" si="21"/>
        <v>12 Dec</v>
      </c>
      <c r="E261" s="67" t="s">
        <v>36</v>
      </c>
      <c r="F261" s="67" t="s">
        <v>70</v>
      </c>
      <c r="G261" s="67" t="s">
        <v>41</v>
      </c>
      <c r="H261" s="67" t="s">
        <v>91</v>
      </c>
      <c r="I261" s="71">
        <v>3</v>
      </c>
      <c r="J261" s="72">
        <v>6230</v>
      </c>
      <c r="K261" s="73">
        <v>0</v>
      </c>
      <c r="L261" s="72">
        <v>4200</v>
      </c>
      <c r="M261" s="68">
        <f t="shared" si="22"/>
        <v>18690</v>
      </c>
      <c r="N261" s="68">
        <f t="shared" si="23"/>
        <v>12600</v>
      </c>
      <c r="O261" s="68">
        <f t="shared" si="24"/>
        <v>6090</v>
      </c>
    </row>
    <row r="262" spans="1:15" x14ac:dyDescent="0.3">
      <c r="A262" s="67" t="s">
        <v>356</v>
      </c>
      <c r="B262" s="70">
        <v>45292</v>
      </c>
      <c r="C262" s="67">
        <f t="shared" si="20"/>
        <v>2024</v>
      </c>
      <c r="D262" s="67" t="str">
        <f t="shared" si="21"/>
        <v>01 Jan</v>
      </c>
      <c r="E262" s="67" t="s">
        <v>48</v>
      </c>
      <c r="F262" s="67" t="s">
        <v>66</v>
      </c>
      <c r="G262" s="67" t="s">
        <v>65</v>
      </c>
      <c r="H262" s="67" t="s">
        <v>98</v>
      </c>
      <c r="I262" s="71">
        <v>2</v>
      </c>
      <c r="J262" s="72">
        <v>13220</v>
      </c>
      <c r="K262" s="73">
        <v>0.05</v>
      </c>
      <c r="L262" s="72">
        <v>9000</v>
      </c>
      <c r="M262" s="68">
        <f t="shared" si="22"/>
        <v>25118</v>
      </c>
      <c r="N262" s="68">
        <f t="shared" si="23"/>
        <v>18000</v>
      </c>
      <c r="O262" s="68">
        <f t="shared" si="24"/>
        <v>7118</v>
      </c>
    </row>
    <row r="263" spans="1:15" x14ac:dyDescent="0.3">
      <c r="A263" s="67" t="s">
        <v>357</v>
      </c>
      <c r="B263" s="70">
        <v>45295</v>
      </c>
      <c r="C263" s="67">
        <f t="shared" si="20"/>
        <v>2024</v>
      </c>
      <c r="D263" s="67" t="str">
        <f t="shared" si="21"/>
        <v>01 Jan</v>
      </c>
      <c r="E263" s="67" t="s">
        <v>42</v>
      </c>
      <c r="F263" s="67" t="s">
        <v>70</v>
      </c>
      <c r="G263" s="67" t="s">
        <v>58</v>
      </c>
      <c r="H263" s="67" t="s">
        <v>112</v>
      </c>
      <c r="I263" s="71">
        <v>1</v>
      </c>
      <c r="J263" s="72">
        <v>8710</v>
      </c>
      <c r="K263" s="73">
        <v>0.1</v>
      </c>
      <c r="L263" s="72">
        <v>6000</v>
      </c>
      <c r="M263" s="68">
        <f t="shared" si="22"/>
        <v>7839</v>
      </c>
      <c r="N263" s="68">
        <f t="shared" si="23"/>
        <v>6000</v>
      </c>
      <c r="O263" s="68">
        <f t="shared" si="24"/>
        <v>1839</v>
      </c>
    </row>
    <row r="264" spans="1:15" x14ac:dyDescent="0.3">
      <c r="A264" s="67" t="s">
        <v>358</v>
      </c>
      <c r="B264" s="70">
        <v>45297</v>
      </c>
      <c r="C264" s="67">
        <f t="shared" si="20"/>
        <v>2024</v>
      </c>
      <c r="D264" s="67" t="str">
        <f t="shared" si="21"/>
        <v>01 Jan</v>
      </c>
      <c r="E264" s="67" t="s">
        <v>45</v>
      </c>
      <c r="F264" s="67" t="s">
        <v>71</v>
      </c>
      <c r="G264" s="67" t="s">
        <v>47</v>
      </c>
      <c r="H264" s="67" t="s">
        <v>93</v>
      </c>
      <c r="I264" s="71">
        <v>41</v>
      </c>
      <c r="J264" s="72">
        <v>290</v>
      </c>
      <c r="K264" s="73">
        <v>0.05</v>
      </c>
      <c r="L264" s="72">
        <v>160</v>
      </c>
      <c r="M264" s="68">
        <f t="shared" si="22"/>
        <v>11295.5</v>
      </c>
      <c r="N264" s="68">
        <f t="shared" si="23"/>
        <v>6560</v>
      </c>
      <c r="O264" s="68">
        <f t="shared" si="24"/>
        <v>4735.5</v>
      </c>
    </row>
    <row r="265" spans="1:15" x14ac:dyDescent="0.3">
      <c r="A265" s="67" t="s">
        <v>359</v>
      </c>
      <c r="B265" s="70">
        <v>45298</v>
      </c>
      <c r="C265" s="67">
        <f t="shared" si="20"/>
        <v>2024</v>
      </c>
      <c r="D265" s="67" t="str">
        <f t="shared" si="21"/>
        <v>01 Jan</v>
      </c>
      <c r="E265" s="67" t="s">
        <v>36</v>
      </c>
      <c r="F265" s="67" t="s">
        <v>70</v>
      </c>
      <c r="G265" s="67" t="s">
        <v>58</v>
      </c>
      <c r="H265" s="67" t="s">
        <v>114</v>
      </c>
      <c r="I265" s="71">
        <v>5</v>
      </c>
      <c r="J265" s="72">
        <v>9340</v>
      </c>
      <c r="K265" s="73">
        <v>0</v>
      </c>
      <c r="L265" s="72">
        <v>6000</v>
      </c>
      <c r="M265" s="68">
        <f t="shared" si="22"/>
        <v>46700</v>
      </c>
      <c r="N265" s="68">
        <f t="shared" si="23"/>
        <v>30000</v>
      </c>
      <c r="O265" s="68">
        <f t="shared" si="24"/>
        <v>16700</v>
      </c>
    </row>
    <row r="266" spans="1:15" x14ac:dyDescent="0.3">
      <c r="A266" s="67" t="s">
        <v>360</v>
      </c>
      <c r="B266" s="70">
        <v>45298</v>
      </c>
      <c r="C266" s="67">
        <f t="shared" si="20"/>
        <v>2024</v>
      </c>
      <c r="D266" s="67" t="str">
        <f t="shared" si="21"/>
        <v>01 Jan</v>
      </c>
      <c r="E266" s="67" t="s">
        <v>42</v>
      </c>
      <c r="F266" s="67" t="s">
        <v>69</v>
      </c>
      <c r="G266" s="67" t="s">
        <v>68</v>
      </c>
      <c r="H266" s="67" t="s">
        <v>112</v>
      </c>
      <c r="I266" s="71">
        <v>6</v>
      </c>
      <c r="J266" s="72">
        <v>3420</v>
      </c>
      <c r="K266" s="73">
        <v>0</v>
      </c>
      <c r="L266" s="72">
        <v>2000</v>
      </c>
      <c r="M266" s="68">
        <f t="shared" si="22"/>
        <v>20520</v>
      </c>
      <c r="N266" s="68">
        <f t="shared" si="23"/>
        <v>12000</v>
      </c>
      <c r="O266" s="68">
        <f t="shared" si="24"/>
        <v>8520</v>
      </c>
    </row>
    <row r="267" spans="1:15" x14ac:dyDescent="0.3">
      <c r="A267" s="67" t="s">
        <v>361</v>
      </c>
      <c r="B267" s="70">
        <v>45299</v>
      </c>
      <c r="C267" s="67">
        <f t="shared" si="20"/>
        <v>2024</v>
      </c>
      <c r="D267" s="67" t="str">
        <f t="shared" si="21"/>
        <v>01 Jan</v>
      </c>
      <c r="E267" s="67" t="s">
        <v>42</v>
      </c>
      <c r="F267" s="67" t="s">
        <v>70</v>
      </c>
      <c r="G267" s="67" t="s">
        <v>62</v>
      </c>
      <c r="H267" s="67" t="s">
        <v>89</v>
      </c>
      <c r="I267" s="71">
        <v>1</v>
      </c>
      <c r="J267" s="72">
        <v>18840</v>
      </c>
      <c r="K267" s="73">
        <v>0.05</v>
      </c>
      <c r="L267" s="72">
        <v>12500</v>
      </c>
      <c r="M267" s="68">
        <f t="shared" si="22"/>
        <v>17898</v>
      </c>
      <c r="N267" s="68">
        <f t="shared" si="23"/>
        <v>12500</v>
      </c>
      <c r="O267" s="68">
        <f t="shared" si="24"/>
        <v>5398</v>
      </c>
    </row>
    <row r="268" spans="1:15" x14ac:dyDescent="0.3">
      <c r="A268" s="67" t="s">
        <v>362</v>
      </c>
      <c r="B268" s="70">
        <v>45299</v>
      </c>
      <c r="C268" s="67">
        <f t="shared" si="20"/>
        <v>2024</v>
      </c>
      <c r="D268" s="67" t="str">
        <f t="shared" si="21"/>
        <v>01 Jan</v>
      </c>
      <c r="E268" s="67" t="s">
        <v>39</v>
      </c>
      <c r="F268" s="67" t="s">
        <v>70</v>
      </c>
      <c r="G268" s="67" t="s">
        <v>62</v>
      </c>
      <c r="H268" s="67" t="s">
        <v>100</v>
      </c>
      <c r="I268" s="71">
        <v>1</v>
      </c>
      <c r="J268" s="72">
        <v>18700</v>
      </c>
      <c r="K268" s="73">
        <v>0.15</v>
      </c>
      <c r="L268" s="72">
        <v>12500</v>
      </c>
      <c r="M268" s="68">
        <f t="shared" si="22"/>
        <v>15895</v>
      </c>
      <c r="N268" s="68">
        <f t="shared" si="23"/>
        <v>12500</v>
      </c>
      <c r="O268" s="68">
        <f t="shared" si="24"/>
        <v>3395</v>
      </c>
    </row>
    <row r="269" spans="1:15" x14ac:dyDescent="0.3">
      <c r="A269" s="67" t="s">
        <v>363</v>
      </c>
      <c r="B269" s="70">
        <v>45300</v>
      </c>
      <c r="C269" s="67">
        <f t="shared" si="20"/>
        <v>2024</v>
      </c>
      <c r="D269" s="67" t="str">
        <f t="shared" si="21"/>
        <v>01 Jan</v>
      </c>
      <c r="E269" s="67" t="s">
        <v>39</v>
      </c>
      <c r="F269" s="67" t="s">
        <v>70</v>
      </c>
      <c r="G269" s="67" t="s">
        <v>41</v>
      </c>
      <c r="H269" s="67" t="s">
        <v>107</v>
      </c>
      <c r="I269" s="71">
        <v>4</v>
      </c>
      <c r="J269" s="72">
        <v>6510</v>
      </c>
      <c r="K269" s="73">
        <v>0.05</v>
      </c>
      <c r="L269" s="72">
        <v>4200</v>
      </c>
      <c r="M269" s="68">
        <f t="shared" si="22"/>
        <v>24738</v>
      </c>
      <c r="N269" s="68">
        <f t="shared" si="23"/>
        <v>16800</v>
      </c>
      <c r="O269" s="68">
        <f t="shared" si="24"/>
        <v>7938</v>
      </c>
    </row>
    <row r="270" spans="1:15" x14ac:dyDescent="0.3">
      <c r="A270" s="67" t="s">
        <v>364</v>
      </c>
      <c r="B270" s="70">
        <v>45300</v>
      </c>
      <c r="C270" s="67">
        <f t="shared" si="20"/>
        <v>2024</v>
      </c>
      <c r="D270" s="67" t="str">
        <f t="shared" si="21"/>
        <v>01 Jan</v>
      </c>
      <c r="E270" s="67" t="s">
        <v>42</v>
      </c>
      <c r="F270" s="67" t="s">
        <v>69</v>
      </c>
      <c r="G270" s="67" t="s">
        <v>68</v>
      </c>
      <c r="H270" s="67" t="s">
        <v>112</v>
      </c>
      <c r="I270" s="71">
        <v>3</v>
      </c>
      <c r="J270" s="72">
        <v>3410</v>
      </c>
      <c r="K270" s="73">
        <v>0</v>
      </c>
      <c r="L270" s="72">
        <v>2000</v>
      </c>
      <c r="M270" s="68">
        <f t="shared" si="22"/>
        <v>10230</v>
      </c>
      <c r="N270" s="68">
        <f t="shared" si="23"/>
        <v>6000</v>
      </c>
      <c r="O270" s="68">
        <f t="shared" si="24"/>
        <v>4230</v>
      </c>
    </row>
    <row r="271" spans="1:15" x14ac:dyDescent="0.3">
      <c r="A271" s="67" t="s">
        <v>365</v>
      </c>
      <c r="B271" s="70">
        <v>45300</v>
      </c>
      <c r="C271" s="67">
        <f t="shared" si="20"/>
        <v>2024</v>
      </c>
      <c r="D271" s="67" t="str">
        <f t="shared" si="21"/>
        <v>01 Jan</v>
      </c>
      <c r="E271" s="67" t="s">
        <v>45</v>
      </c>
      <c r="F271" s="67" t="s">
        <v>69</v>
      </c>
      <c r="G271" s="67" t="s">
        <v>50</v>
      </c>
      <c r="H271" s="67" t="s">
        <v>93</v>
      </c>
      <c r="I271" s="71">
        <v>1</v>
      </c>
      <c r="J271" s="72">
        <v>57250</v>
      </c>
      <c r="K271" s="73">
        <v>0.1</v>
      </c>
      <c r="L271" s="72">
        <v>42000</v>
      </c>
      <c r="M271" s="68">
        <f t="shared" si="22"/>
        <v>51525</v>
      </c>
      <c r="N271" s="68">
        <f t="shared" si="23"/>
        <v>42000</v>
      </c>
      <c r="O271" s="68">
        <f t="shared" si="24"/>
        <v>9525</v>
      </c>
    </row>
    <row r="272" spans="1:15" x14ac:dyDescent="0.3">
      <c r="A272" s="67" t="s">
        <v>366</v>
      </c>
      <c r="B272" s="70">
        <v>45303</v>
      </c>
      <c r="C272" s="67">
        <f t="shared" si="20"/>
        <v>2024</v>
      </c>
      <c r="D272" s="67" t="str">
        <f t="shared" si="21"/>
        <v>01 Jan</v>
      </c>
      <c r="E272" s="67" t="s">
        <v>42</v>
      </c>
      <c r="F272" s="67" t="s">
        <v>69</v>
      </c>
      <c r="G272" s="67" t="s">
        <v>68</v>
      </c>
      <c r="H272" s="67" t="s">
        <v>112</v>
      </c>
      <c r="I272" s="71">
        <v>5</v>
      </c>
      <c r="J272" s="72">
        <v>3450</v>
      </c>
      <c r="K272" s="73">
        <v>0</v>
      </c>
      <c r="L272" s="72">
        <v>2000</v>
      </c>
      <c r="M272" s="68">
        <f t="shared" si="22"/>
        <v>17250</v>
      </c>
      <c r="N272" s="68">
        <f t="shared" si="23"/>
        <v>10000</v>
      </c>
      <c r="O272" s="68">
        <f t="shared" si="24"/>
        <v>7250</v>
      </c>
    </row>
    <row r="273" spans="1:15" x14ac:dyDescent="0.3">
      <c r="A273" s="67" t="s">
        <v>367</v>
      </c>
      <c r="B273" s="70">
        <v>45303</v>
      </c>
      <c r="C273" s="67">
        <f t="shared" si="20"/>
        <v>2024</v>
      </c>
      <c r="D273" s="67" t="str">
        <f t="shared" si="21"/>
        <v>01 Jan</v>
      </c>
      <c r="E273" s="67" t="s">
        <v>45</v>
      </c>
      <c r="F273" s="67" t="s">
        <v>69</v>
      </c>
      <c r="G273" s="67" t="s">
        <v>50</v>
      </c>
      <c r="H273" s="67" t="s">
        <v>93</v>
      </c>
      <c r="I273" s="71">
        <v>1</v>
      </c>
      <c r="J273" s="72">
        <v>55050</v>
      </c>
      <c r="K273" s="73">
        <v>0.05</v>
      </c>
      <c r="L273" s="72">
        <v>42000</v>
      </c>
      <c r="M273" s="68">
        <f t="shared" si="22"/>
        <v>52297.5</v>
      </c>
      <c r="N273" s="68">
        <f t="shared" si="23"/>
        <v>42000</v>
      </c>
      <c r="O273" s="68">
        <f t="shared" si="24"/>
        <v>10297.5</v>
      </c>
    </row>
    <row r="274" spans="1:15" x14ac:dyDescent="0.3">
      <c r="A274" s="67" t="s">
        <v>368</v>
      </c>
      <c r="B274" s="70">
        <v>45306</v>
      </c>
      <c r="C274" s="67">
        <f t="shared" si="20"/>
        <v>2024</v>
      </c>
      <c r="D274" s="67" t="str">
        <f t="shared" si="21"/>
        <v>01 Jan</v>
      </c>
      <c r="E274" s="67" t="s">
        <v>36</v>
      </c>
      <c r="F274" s="67" t="s">
        <v>71</v>
      </c>
      <c r="G274" s="67" t="s">
        <v>55</v>
      </c>
      <c r="H274" s="67" t="s">
        <v>91</v>
      </c>
      <c r="I274" s="71">
        <v>21</v>
      </c>
      <c r="J274" s="72">
        <v>430</v>
      </c>
      <c r="K274" s="73">
        <v>0.05</v>
      </c>
      <c r="L274" s="72">
        <v>250</v>
      </c>
      <c r="M274" s="68">
        <f t="shared" si="22"/>
        <v>8578.5</v>
      </c>
      <c r="N274" s="68">
        <f t="shared" si="23"/>
        <v>5250</v>
      </c>
      <c r="O274" s="68">
        <f t="shared" si="24"/>
        <v>3328.5</v>
      </c>
    </row>
    <row r="275" spans="1:15" x14ac:dyDescent="0.3">
      <c r="A275" s="67" t="s">
        <v>369</v>
      </c>
      <c r="B275" s="70">
        <v>45307</v>
      </c>
      <c r="C275" s="67">
        <f t="shared" si="20"/>
        <v>2024</v>
      </c>
      <c r="D275" s="67" t="str">
        <f t="shared" si="21"/>
        <v>01 Jan</v>
      </c>
      <c r="E275" s="67" t="s">
        <v>42</v>
      </c>
      <c r="F275" s="67" t="s">
        <v>71</v>
      </c>
      <c r="G275" s="67" t="s">
        <v>44</v>
      </c>
      <c r="H275" s="67" t="s">
        <v>89</v>
      </c>
      <c r="I275" s="71">
        <v>17</v>
      </c>
      <c r="J275" s="72">
        <v>710</v>
      </c>
      <c r="K275" s="73">
        <v>0.05</v>
      </c>
      <c r="L275" s="72">
        <v>380</v>
      </c>
      <c r="M275" s="68">
        <f t="shared" si="22"/>
        <v>11466.5</v>
      </c>
      <c r="N275" s="68">
        <f t="shared" si="23"/>
        <v>6460</v>
      </c>
      <c r="O275" s="68">
        <f t="shared" si="24"/>
        <v>5006.5</v>
      </c>
    </row>
    <row r="276" spans="1:15" x14ac:dyDescent="0.3">
      <c r="A276" s="67" t="s">
        <v>370</v>
      </c>
      <c r="B276" s="70">
        <v>45308</v>
      </c>
      <c r="C276" s="67">
        <f t="shared" si="20"/>
        <v>2024</v>
      </c>
      <c r="D276" s="67" t="str">
        <f t="shared" si="21"/>
        <v>01 Jan</v>
      </c>
      <c r="E276" s="67" t="s">
        <v>42</v>
      </c>
      <c r="F276" s="67" t="s">
        <v>66</v>
      </c>
      <c r="G276" s="67" t="s">
        <v>38</v>
      </c>
      <c r="H276" s="67" t="s">
        <v>89</v>
      </c>
      <c r="I276" s="71">
        <v>1</v>
      </c>
      <c r="J276" s="72">
        <v>13970</v>
      </c>
      <c r="K276" s="73">
        <v>0.05</v>
      </c>
      <c r="L276" s="72">
        <v>9500</v>
      </c>
      <c r="M276" s="68">
        <f t="shared" si="22"/>
        <v>13271.5</v>
      </c>
      <c r="N276" s="68">
        <f t="shared" si="23"/>
        <v>9500</v>
      </c>
      <c r="O276" s="68">
        <f t="shared" si="24"/>
        <v>3771.5</v>
      </c>
    </row>
    <row r="277" spans="1:15" x14ac:dyDescent="0.3">
      <c r="A277" s="67" t="s">
        <v>371</v>
      </c>
      <c r="B277" s="70">
        <v>45309</v>
      </c>
      <c r="C277" s="67">
        <f t="shared" si="20"/>
        <v>2024</v>
      </c>
      <c r="D277" s="67" t="str">
        <f t="shared" si="21"/>
        <v>01 Jan</v>
      </c>
      <c r="E277" s="67" t="s">
        <v>42</v>
      </c>
      <c r="F277" s="67" t="s">
        <v>66</v>
      </c>
      <c r="G277" s="67" t="s">
        <v>53</v>
      </c>
      <c r="H277" s="67" t="s">
        <v>89</v>
      </c>
      <c r="I277" s="71">
        <v>3</v>
      </c>
      <c r="J277" s="72">
        <v>10880</v>
      </c>
      <c r="K277" s="73">
        <v>0.05</v>
      </c>
      <c r="L277" s="72">
        <v>8000</v>
      </c>
      <c r="M277" s="68">
        <f t="shared" si="22"/>
        <v>31008</v>
      </c>
      <c r="N277" s="68">
        <f t="shared" si="23"/>
        <v>24000</v>
      </c>
      <c r="O277" s="68">
        <f t="shared" si="24"/>
        <v>7008</v>
      </c>
    </row>
    <row r="278" spans="1:15" x14ac:dyDescent="0.3">
      <c r="A278" s="67" t="s">
        <v>372</v>
      </c>
      <c r="B278" s="70">
        <v>45310</v>
      </c>
      <c r="C278" s="67">
        <f t="shared" si="20"/>
        <v>2024</v>
      </c>
      <c r="D278" s="67" t="str">
        <f t="shared" si="21"/>
        <v>01 Jan</v>
      </c>
      <c r="E278" s="67" t="s">
        <v>45</v>
      </c>
      <c r="F278" s="67" t="s">
        <v>71</v>
      </c>
      <c r="G278" s="67" t="s">
        <v>47</v>
      </c>
      <c r="H278" s="67" t="s">
        <v>93</v>
      </c>
      <c r="I278" s="71">
        <v>9</v>
      </c>
      <c r="J278" s="72">
        <v>310</v>
      </c>
      <c r="K278" s="73">
        <v>0</v>
      </c>
      <c r="L278" s="72">
        <v>160</v>
      </c>
      <c r="M278" s="68">
        <f t="shared" si="22"/>
        <v>2790</v>
      </c>
      <c r="N278" s="68">
        <f t="shared" si="23"/>
        <v>1440</v>
      </c>
      <c r="O278" s="68">
        <f t="shared" si="24"/>
        <v>1350</v>
      </c>
    </row>
    <row r="279" spans="1:15" x14ac:dyDescent="0.3">
      <c r="A279" s="67" t="s">
        <v>373</v>
      </c>
      <c r="B279" s="70">
        <v>45311</v>
      </c>
      <c r="C279" s="67">
        <f t="shared" si="20"/>
        <v>2024</v>
      </c>
      <c r="D279" s="67" t="str">
        <f t="shared" si="21"/>
        <v>01 Jan</v>
      </c>
      <c r="E279" s="67" t="s">
        <v>48</v>
      </c>
      <c r="F279" s="67" t="s">
        <v>66</v>
      </c>
      <c r="G279" s="67" t="s">
        <v>38</v>
      </c>
      <c r="H279" s="67" t="s">
        <v>98</v>
      </c>
      <c r="I279" s="71">
        <v>1</v>
      </c>
      <c r="J279" s="72">
        <v>13520</v>
      </c>
      <c r="K279" s="73">
        <v>0</v>
      </c>
      <c r="L279" s="72">
        <v>9500</v>
      </c>
      <c r="M279" s="68">
        <f t="shared" si="22"/>
        <v>13520</v>
      </c>
      <c r="N279" s="68">
        <f t="shared" si="23"/>
        <v>9500</v>
      </c>
      <c r="O279" s="68">
        <f t="shared" si="24"/>
        <v>4020</v>
      </c>
    </row>
    <row r="280" spans="1:15" x14ac:dyDescent="0.3">
      <c r="A280" s="67" t="s">
        <v>374</v>
      </c>
      <c r="B280" s="70">
        <v>45311</v>
      </c>
      <c r="C280" s="67">
        <f t="shared" si="20"/>
        <v>2024</v>
      </c>
      <c r="D280" s="67" t="str">
        <f t="shared" si="21"/>
        <v>01 Jan</v>
      </c>
      <c r="E280" s="67" t="s">
        <v>48</v>
      </c>
      <c r="F280" s="67" t="s">
        <v>69</v>
      </c>
      <c r="G280" s="67" t="s">
        <v>50</v>
      </c>
      <c r="H280" s="67" t="s">
        <v>95</v>
      </c>
      <c r="I280" s="71">
        <v>1</v>
      </c>
      <c r="J280" s="72">
        <v>56710</v>
      </c>
      <c r="K280" s="73">
        <v>0.05</v>
      </c>
      <c r="L280" s="72">
        <v>42000</v>
      </c>
      <c r="M280" s="68">
        <f t="shared" si="22"/>
        <v>53874.5</v>
      </c>
      <c r="N280" s="68">
        <f t="shared" si="23"/>
        <v>42000</v>
      </c>
      <c r="O280" s="68">
        <f t="shared" si="24"/>
        <v>11874.5</v>
      </c>
    </row>
    <row r="281" spans="1:15" x14ac:dyDescent="0.3">
      <c r="A281" s="67" t="s">
        <v>375</v>
      </c>
      <c r="B281" s="70">
        <v>45313</v>
      </c>
      <c r="C281" s="67">
        <f t="shared" si="20"/>
        <v>2024</v>
      </c>
      <c r="D281" s="67" t="str">
        <f t="shared" si="21"/>
        <v>01 Jan</v>
      </c>
      <c r="E281" s="67" t="s">
        <v>45</v>
      </c>
      <c r="F281" s="67" t="s">
        <v>70</v>
      </c>
      <c r="G281" s="67" t="s">
        <v>62</v>
      </c>
      <c r="H281" s="67" t="s">
        <v>87</v>
      </c>
      <c r="I281" s="71">
        <v>1</v>
      </c>
      <c r="J281" s="72">
        <v>17260</v>
      </c>
      <c r="K281" s="73">
        <v>0.15</v>
      </c>
      <c r="L281" s="72">
        <v>12500</v>
      </c>
      <c r="M281" s="68">
        <f t="shared" si="22"/>
        <v>14671</v>
      </c>
      <c r="N281" s="68">
        <f t="shared" si="23"/>
        <v>12500</v>
      </c>
      <c r="O281" s="68">
        <f t="shared" si="24"/>
        <v>2171</v>
      </c>
    </row>
    <row r="282" spans="1:15" x14ac:dyDescent="0.3">
      <c r="A282" s="67" t="s">
        <v>376</v>
      </c>
      <c r="B282" s="70">
        <v>45314</v>
      </c>
      <c r="C282" s="67">
        <f t="shared" si="20"/>
        <v>2024</v>
      </c>
      <c r="D282" s="67" t="str">
        <f t="shared" si="21"/>
        <v>01 Jan</v>
      </c>
      <c r="E282" s="67" t="s">
        <v>48</v>
      </c>
      <c r="F282" s="67" t="s">
        <v>69</v>
      </c>
      <c r="G282" s="67" t="s">
        <v>50</v>
      </c>
      <c r="H282" s="67" t="s">
        <v>95</v>
      </c>
      <c r="I282" s="71">
        <v>1</v>
      </c>
      <c r="J282" s="72">
        <v>55470</v>
      </c>
      <c r="K282" s="73">
        <v>0.1</v>
      </c>
      <c r="L282" s="72">
        <v>42000</v>
      </c>
      <c r="M282" s="68">
        <f t="shared" si="22"/>
        <v>49923</v>
      </c>
      <c r="N282" s="68">
        <f t="shared" si="23"/>
        <v>42000</v>
      </c>
      <c r="O282" s="68">
        <f t="shared" si="24"/>
        <v>7923</v>
      </c>
    </row>
    <row r="283" spans="1:15" x14ac:dyDescent="0.3">
      <c r="A283" s="67" t="s">
        <v>377</v>
      </c>
      <c r="B283" s="70">
        <v>45314</v>
      </c>
      <c r="C283" s="67">
        <f t="shared" si="20"/>
        <v>2024</v>
      </c>
      <c r="D283" s="67" t="str">
        <f t="shared" si="21"/>
        <v>01 Jan</v>
      </c>
      <c r="E283" s="67" t="s">
        <v>42</v>
      </c>
      <c r="F283" s="67" t="s">
        <v>70</v>
      </c>
      <c r="G283" s="67" t="s">
        <v>62</v>
      </c>
      <c r="H283" s="67" t="s">
        <v>112</v>
      </c>
      <c r="I283" s="71">
        <v>3</v>
      </c>
      <c r="J283" s="72">
        <v>17840</v>
      </c>
      <c r="K283" s="73">
        <v>0.15</v>
      </c>
      <c r="L283" s="72">
        <v>12500</v>
      </c>
      <c r="M283" s="68">
        <f t="shared" si="22"/>
        <v>45492</v>
      </c>
      <c r="N283" s="68">
        <f t="shared" si="23"/>
        <v>37500</v>
      </c>
      <c r="O283" s="68">
        <f t="shared" si="24"/>
        <v>7992</v>
      </c>
    </row>
    <row r="284" spans="1:15" x14ac:dyDescent="0.3">
      <c r="A284" s="67" t="s">
        <v>378</v>
      </c>
      <c r="B284" s="70">
        <v>45314</v>
      </c>
      <c r="C284" s="67">
        <f t="shared" si="20"/>
        <v>2024</v>
      </c>
      <c r="D284" s="67" t="str">
        <f t="shared" si="21"/>
        <v>01 Jan</v>
      </c>
      <c r="E284" s="67" t="s">
        <v>42</v>
      </c>
      <c r="F284" s="67" t="s">
        <v>71</v>
      </c>
      <c r="G284" s="67" t="s">
        <v>47</v>
      </c>
      <c r="H284" s="67" t="s">
        <v>112</v>
      </c>
      <c r="I284" s="71">
        <v>40</v>
      </c>
      <c r="J284" s="72">
        <v>310</v>
      </c>
      <c r="K284" s="73">
        <v>0.05</v>
      </c>
      <c r="L284" s="72">
        <v>160</v>
      </c>
      <c r="M284" s="68">
        <f t="shared" si="22"/>
        <v>11780</v>
      </c>
      <c r="N284" s="68">
        <f t="shared" si="23"/>
        <v>6400</v>
      </c>
      <c r="O284" s="68">
        <f t="shared" si="24"/>
        <v>5380</v>
      </c>
    </row>
    <row r="285" spans="1:15" x14ac:dyDescent="0.3">
      <c r="A285" s="67" t="s">
        <v>379</v>
      </c>
      <c r="B285" s="70">
        <v>45318</v>
      </c>
      <c r="C285" s="67">
        <f t="shared" si="20"/>
        <v>2024</v>
      </c>
      <c r="D285" s="67" t="str">
        <f t="shared" si="21"/>
        <v>01 Jan</v>
      </c>
      <c r="E285" s="67" t="s">
        <v>36</v>
      </c>
      <c r="F285" s="67" t="s">
        <v>70</v>
      </c>
      <c r="G285" s="67" t="s">
        <v>62</v>
      </c>
      <c r="H285" s="67" t="s">
        <v>114</v>
      </c>
      <c r="I285" s="71">
        <v>2</v>
      </c>
      <c r="J285" s="72">
        <v>17400</v>
      </c>
      <c r="K285" s="73">
        <v>0</v>
      </c>
      <c r="L285" s="72">
        <v>12500</v>
      </c>
      <c r="M285" s="68">
        <f t="shared" si="22"/>
        <v>34800</v>
      </c>
      <c r="N285" s="68">
        <f t="shared" si="23"/>
        <v>25000</v>
      </c>
      <c r="O285" s="68">
        <f t="shared" si="24"/>
        <v>9800</v>
      </c>
    </row>
    <row r="286" spans="1:15" x14ac:dyDescent="0.3">
      <c r="A286" s="67" t="s">
        <v>380</v>
      </c>
      <c r="B286" s="70">
        <v>45319</v>
      </c>
      <c r="C286" s="67">
        <f t="shared" si="20"/>
        <v>2024</v>
      </c>
      <c r="D286" s="67" t="str">
        <f t="shared" si="21"/>
        <v>01 Jan</v>
      </c>
      <c r="E286" s="67" t="s">
        <v>48</v>
      </c>
      <c r="F286" s="67" t="s">
        <v>70</v>
      </c>
      <c r="G286" s="67" t="s">
        <v>62</v>
      </c>
      <c r="H286" s="67" t="s">
        <v>95</v>
      </c>
      <c r="I286" s="71">
        <v>1</v>
      </c>
      <c r="J286" s="72">
        <v>18160</v>
      </c>
      <c r="K286" s="73">
        <v>0</v>
      </c>
      <c r="L286" s="72">
        <v>12500</v>
      </c>
      <c r="M286" s="68">
        <f t="shared" si="22"/>
        <v>18160</v>
      </c>
      <c r="N286" s="68">
        <f t="shared" si="23"/>
        <v>12500</v>
      </c>
      <c r="O286" s="68">
        <f t="shared" si="24"/>
        <v>5660</v>
      </c>
    </row>
    <row r="287" spans="1:15" x14ac:dyDescent="0.3">
      <c r="A287" s="67" t="s">
        <v>381</v>
      </c>
      <c r="B287" s="70">
        <v>45319</v>
      </c>
      <c r="C287" s="67">
        <f t="shared" si="20"/>
        <v>2024</v>
      </c>
      <c r="D287" s="67" t="str">
        <f t="shared" si="21"/>
        <v>01 Jan</v>
      </c>
      <c r="E287" s="67" t="s">
        <v>36</v>
      </c>
      <c r="F287" s="67" t="s">
        <v>69</v>
      </c>
      <c r="G287" s="67" t="s">
        <v>68</v>
      </c>
      <c r="H287" s="67" t="s">
        <v>91</v>
      </c>
      <c r="I287" s="71">
        <v>2</v>
      </c>
      <c r="J287" s="72">
        <v>3530</v>
      </c>
      <c r="K287" s="73">
        <v>0.15</v>
      </c>
      <c r="L287" s="72">
        <v>2000</v>
      </c>
      <c r="M287" s="68">
        <f t="shared" si="22"/>
        <v>6001</v>
      </c>
      <c r="N287" s="68">
        <f t="shared" si="23"/>
        <v>4000</v>
      </c>
      <c r="O287" s="68">
        <f t="shared" si="24"/>
        <v>2001</v>
      </c>
    </row>
    <row r="288" spans="1:15" x14ac:dyDescent="0.3">
      <c r="A288" s="67" t="s">
        <v>382</v>
      </c>
      <c r="B288" s="70">
        <v>45319</v>
      </c>
      <c r="C288" s="67">
        <f t="shared" si="20"/>
        <v>2024</v>
      </c>
      <c r="D288" s="67" t="str">
        <f t="shared" si="21"/>
        <v>01 Jan</v>
      </c>
      <c r="E288" s="67" t="s">
        <v>36</v>
      </c>
      <c r="F288" s="67" t="s">
        <v>66</v>
      </c>
      <c r="G288" s="67" t="s">
        <v>53</v>
      </c>
      <c r="H288" s="67" t="s">
        <v>91</v>
      </c>
      <c r="I288" s="71">
        <v>3</v>
      </c>
      <c r="J288" s="72">
        <v>11240</v>
      </c>
      <c r="K288" s="73">
        <v>0</v>
      </c>
      <c r="L288" s="72">
        <v>8000</v>
      </c>
      <c r="M288" s="68">
        <f t="shared" si="22"/>
        <v>33720</v>
      </c>
      <c r="N288" s="68">
        <f t="shared" si="23"/>
        <v>24000</v>
      </c>
      <c r="O288" s="68">
        <f t="shared" si="24"/>
        <v>9720</v>
      </c>
    </row>
    <row r="289" spans="1:15" x14ac:dyDescent="0.3">
      <c r="A289" s="67" t="s">
        <v>383</v>
      </c>
      <c r="B289" s="70">
        <v>45323</v>
      </c>
      <c r="C289" s="67">
        <f t="shared" si="20"/>
        <v>2024</v>
      </c>
      <c r="D289" s="67" t="str">
        <f t="shared" si="21"/>
        <v>02 Feb</v>
      </c>
      <c r="E289" s="67" t="s">
        <v>39</v>
      </c>
      <c r="F289" s="67" t="s">
        <v>69</v>
      </c>
      <c r="G289" s="67" t="s">
        <v>50</v>
      </c>
      <c r="H289" s="67" t="s">
        <v>100</v>
      </c>
      <c r="I289" s="71">
        <v>1</v>
      </c>
      <c r="J289" s="72">
        <v>54450</v>
      </c>
      <c r="K289" s="73">
        <v>0</v>
      </c>
      <c r="L289" s="72">
        <v>42000</v>
      </c>
      <c r="M289" s="68">
        <f t="shared" si="22"/>
        <v>54450</v>
      </c>
      <c r="N289" s="68">
        <f t="shared" si="23"/>
        <v>42000</v>
      </c>
      <c r="O289" s="68">
        <f t="shared" si="24"/>
        <v>12450</v>
      </c>
    </row>
    <row r="290" spans="1:15" x14ac:dyDescent="0.3">
      <c r="A290" s="67" t="s">
        <v>384</v>
      </c>
      <c r="B290" s="70">
        <v>45324</v>
      </c>
      <c r="C290" s="67">
        <f t="shared" si="20"/>
        <v>2024</v>
      </c>
      <c r="D290" s="67" t="str">
        <f t="shared" si="21"/>
        <v>02 Feb</v>
      </c>
      <c r="E290" s="67" t="s">
        <v>48</v>
      </c>
      <c r="F290" s="67" t="s">
        <v>70</v>
      </c>
      <c r="G290" s="67" t="s">
        <v>58</v>
      </c>
      <c r="H290" s="67" t="s">
        <v>95</v>
      </c>
      <c r="I290" s="71">
        <v>1</v>
      </c>
      <c r="J290" s="72">
        <v>8580</v>
      </c>
      <c r="K290" s="73">
        <v>0.05</v>
      </c>
      <c r="L290" s="72">
        <v>6000</v>
      </c>
      <c r="M290" s="68">
        <f t="shared" si="22"/>
        <v>8151</v>
      </c>
      <c r="N290" s="68">
        <f t="shared" si="23"/>
        <v>6000</v>
      </c>
      <c r="O290" s="68">
        <f t="shared" si="24"/>
        <v>2151</v>
      </c>
    </row>
    <row r="291" spans="1:15" x14ac:dyDescent="0.3">
      <c r="A291" s="67" t="s">
        <v>385</v>
      </c>
      <c r="B291" s="70">
        <v>45326</v>
      </c>
      <c r="C291" s="67">
        <f t="shared" si="20"/>
        <v>2024</v>
      </c>
      <c r="D291" s="67" t="str">
        <f t="shared" si="21"/>
        <v>02 Feb</v>
      </c>
      <c r="E291" s="67" t="s">
        <v>45</v>
      </c>
      <c r="F291" s="67" t="s">
        <v>66</v>
      </c>
      <c r="G291" s="67" t="s">
        <v>38</v>
      </c>
      <c r="H291" s="67" t="s">
        <v>87</v>
      </c>
      <c r="I291" s="71">
        <v>2</v>
      </c>
      <c r="J291" s="72">
        <v>13390</v>
      </c>
      <c r="K291" s="73">
        <v>0</v>
      </c>
      <c r="L291" s="72">
        <v>9500</v>
      </c>
      <c r="M291" s="68">
        <f t="shared" si="22"/>
        <v>26780</v>
      </c>
      <c r="N291" s="68">
        <f t="shared" si="23"/>
        <v>19000</v>
      </c>
      <c r="O291" s="68">
        <f t="shared" si="24"/>
        <v>7780</v>
      </c>
    </row>
    <row r="292" spans="1:15" x14ac:dyDescent="0.3">
      <c r="A292" s="67" t="s">
        <v>386</v>
      </c>
      <c r="B292" s="70">
        <v>45327</v>
      </c>
      <c r="C292" s="67">
        <f t="shared" si="20"/>
        <v>2024</v>
      </c>
      <c r="D292" s="67" t="str">
        <f t="shared" si="21"/>
        <v>02 Feb</v>
      </c>
      <c r="E292" s="67" t="s">
        <v>48</v>
      </c>
      <c r="F292" s="67" t="s">
        <v>69</v>
      </c>
      <c r="G292" s="67" t="s">
        <v>68</v>
      </c>
      <c r="H292" s="67" t="s">
        <v>95</v>
      </c>
      <c r="I292" s="71">
        <v>2</v>
      </c>
      <c r="J292" s="72">
        <v>3330</v>
      </c>
      <c r="K292" s="73">
        <v>0.1</v>
      </c>
      <c r="L292" s="72">
        <v>2000</v>
      </c>
      <c r="M292" s="68">
        <f t="shared" si="22"/>
        <v>5994</v>
      </c>
      <c r="N292" s="68">
        <f t="shared" si="23"/>
        <v>4000</v>
      </c>
      <c r="O292" s="68">
        <f t="shared" si="24"/>
        <v>1994</v>
      </c>
    </row>
    <row r="293" spans="1:15" x14ac:dyDescent="0.3">
      <c r="A293" s="67" t="s">
        <v>387</v>
      </c>
      <c r="B293" s="70">
        <v>45328</v>
      </c>
      <c r="C293" s="67">
        <f t="shared" si="20"/>
        <v>2024</v>
      </c>
      <c r="D293" s="67" t="str">
        <f t="shared" si="21"/>
        <v>02 Feb</v>
      </c>
      <c r="E293" s="67" t="s">
        <v>39</v>
      </c>
      <c r="F293" s="67" t="s">
        <v>71</v>
      </c>
      <c r="G293" s="67" t="s">
        <v>55</v>
      </c>
      <c r="H293" s="67" t="s">
        <v>100</v>
      </c>
      <c r="I293" s="71">
        <v>9</v>
      </c>
      <c r="J293" s="72">
        <v>440</v>
      </c>
      <c r="K293" s="73">
        <v>0.05</v>
      </c>
      <c r="L293" s="72">
        <v>250</v>
      </c>
      <c r="M293" s="68">
        <f t="shared" si="22"/>
        <v>3762</v>
      </c>
      <c r="N293" s="68">
        <f t="shared" si="23"/>
        <v>2250</v>
      </c>
      <c r="O293" s="68">
        <f t="shared" si="24"/>
        <v>1512</v>
      </c>
    </row>
    <row r="294" spans="1:15" x14ac:dyDescent="0.3">
      <c r="A294" s="67" t="s">
        <v>388</v>
      </c>
      <c r="B294" s="70">
        <v>45328</v>
      </c>
      <c r="C294" s="67">
        <f t="shared" si="20"/>
        <v>2024</v>
      </c>
      <c r="D294" s="67" t="str">
        <f t="shared" si="21"/>
        <v>02 Feb</v>
      </c>
      <c r="E294" s="67" t="s">
        <v>45</v>
      </c>
      <c r="F294" s="67" t="s">
        <v>69</v>
      </c>
      <c r="G294" s="67" t="s">
        <v>50</v>
      </c>
      <c r="H294" s="67" t="s">
        <v>87</v>
      </c>
      <c r="I294" s="71">
        <v>2</v>
      </c>
      <c r="J294" s="72">
        <v>52880</v>
      </c>
      <c r="K294" s="73">
        <v>0.05</v>
      </c>
      <c r="L294" s="72">
        <v>42000</v>
      </c>
      <c r="M294" s="68">
        <f t="shared" si="22"/>
        <v>100472</v>
      </c>
      <c r="N294" s="68">
        <f t="shared" si="23"/>
        <v>84000</v>
      </c>
      <c r="O294" s="68">
        <f t="shared" si="24"/>
        <v>16472</v>
      </c>
    </row>
    <row r="295" spans="1:15" x14ac:dyDescent="0.3">
      <c r="A295" s="67" t="s">
        <v>389</v>
      </c>
      <c r="B295" s="70">
        <v>45328</v>
      </c>
      <c r="C295" s="67">
        <f t="shared" si="20"/>
        <v>2024</v>
      </c>
      <c r="D295" s="67" t="str">
        <f t="shared" si="21"/>
        <v>02 Feb</v>
      </c>
      <c r="E295" s="67" t="s">
        <v>48</v>
      </c>
      <c r="F295" s="67" t="s">
        <v>69</v>
      </c>
      <c r="G295" s="67" t="s">
        <v>60</v>
      </c>
      <c r="H295" s="67" t="s">
        <v>98</v>
      </c>
      <c r="I295" s="71">
        <v>1</v>
      </c>
      <c r="J295" s="72">
        <v>24150</v>
      </c>
      <c r="K295" s="73">
        <v>0</v>
      </c>
      <c r="L295" s="72">
        <v>18000</v>
      </c>
      <c r="M295" s="68">
        <f t="shared" si="22"/>
        <v>24150</v>
      </c>
      <c r="N295" s="68">
        <f t="shared" si="23"/>
        <v>18000</v>
      </c>
      <c r="O295" s="68">
        <f t="shared" si="24"/>
        <v>6150</v>
      </c>
    </row>
    <row r="296" spans="1:15" x14ac:dyDescent="0.3">
      <c r="A296" s="67" t="s">
        <v>390</v>
      </c>
      <c r="B296" s="70">
        <v>45328</v>
      </c>
      <c r="C296" s="67">
        <f t="shared" si="20"/>
        <v>2024</v>
      </c>
      <c r="D296" s="67" t="str">
        <f t="shared" si="21"/>
        <v>02 Feb</v>
      </c>
      <c r="E296" s="67" t="s">
        <v>48</v>
      </c>
      <c r="F296" s="67" t="s">
        <v>69</v>
      </c>
      <c r="G296" s="67" t="s">
        <v>60</v>
      </c>
      <c r="H296" s="67" t="s">
        <v>95</v>
      </c>
      <c r="I296" s="71">
        <v>3</v>
      </c>
      <c r="J296" s="72">
        <v>24150</v>
      </c>
      <c r="K296" s="73">
        <v>0</v>
      </c>
      <c r="L296" s="72">
        <v>18000</v>
      </c>
      <c r="M296" s="68">
        <f t="shared" si="22"/>
        <v>72450</v>
      </c>
      <c r="N296" s="68">
        <f t="shared" si="23"/>
        <v>54000</v>
      </c>
      <c r="O296" s="68">
        <f t="shared" si="24"/>
        <v>18450</v>
      </c>
    </row>
    <row r="297" spans="1:15" x14ac:dyDescent="0.3">
      <c r="A297" s="67" t="s">
        <v>391</v>
      </c>
      <c r="B297" s="70">
        <v>45328</v>
      </c>
      <c r="C297" s="67">
        <f t="shared" si="20"/>
        <v>2024</v>
      </c>
      <c r="D297" s="67" t="str">
        <f t="shared" si="21"/>
        <v>02 Feb</v>
      </c>
      <c r="E297" s="67" t="s">
        <v>42</v>
      </c>
      <c r="F297" s="67" t="s">
        <v>66</v>
      </c>
      <c r="G297" s="67" t="s">
        <v>53</v>
      </c>
      <c r="H297" s="67" t="s">
        <v>112</v>
      </c>
      <c r="I297" s="71">
        <v>3</v>
      </c>
      <c r="J297" s="72">
        <v>10820</v>
      </c>
      <c r="K297" s="73">
        <v>0</v>
      </c>
      <c r="L297" s="72">
        <v>8000</v>
      </c>
      <c r="M297" s="68">
        <f t="shared" si="22"/>
        <v>32460</v>
      </c>
      <c r="N297" s="68">
        <f t="shared" si="23"/>
        <v>24000</v>
      </c>
      <c r="O297" s="68">
        <f t="shared" si="24"/>
        <v>8460</v>
      </c>
    </row>
    <row r="298" spans="1:15" x14ac:dyDescent="0.3">
      <c r="A298" s="67" t="s">
        <v>392</v>
      </c>
      <c r="B298" s="70">
        <v>45329</v>
      </c>
      <c r="C298" s="67">
        <f t="shared" si="20"/>
        <v>2024</v>
      </c>
      <c r="D298" s="67" t="str">
        <f t="shared" si="21"/>
        <v>02 Feb</v>
      </c>
      <c r="E298" s="67" t="s">
        <v>39</v>
      </c>
      <c r="F298" s="67" t="s">
        <v>66</v>
      </c>
      <c r="G298" s="67" t="s">
        <v>65</v>
      </c>
      <c r="H298" s="67" t="s">
        <v>100</v>
      </c>
      <c r="I298" s="71">
        <v>3</v>
      </c>
      <c r="J298" s="72">
        <v>13980</v>
      </c>
      <c r="K298" s="73">
        <v>0.15</v>
      </c>
      <c r="L298" s="72">
        <v>9000</v>
      </c>
      <c r="M298" s="68">
        <f t="shared" si="22"/>
        <v>35649</v>
      </c>
      <c r="N298" s="68">
        <f t="shared" si="23"/>
        <v>27000</v>
      </c>
      <c r="O298" s="68">
        <f t="shared" si="24"/>
        <v>8649</v>
      </c>
    </row>
    <row r="299" spans="1:15" x14ac:dyDescent="0.3">
      <c r="A299" s="67" t="s">
        <v>393</v>
      </c>
      <c r="B299" s="70">
        <v>45329</v>
      </c>
      <c r="C299" s="67">
        <f t="shared" si="20"/>
        <v>2024</v>
      </c>
      <c r="D299" s="67" t="str">
        <f t="shared" si="21"/>
        <v>02 Feb</v>
      </c>
      <c r="E299" s="67" t="s">
        <v>48</v>
      </c>
      <c r="F299" s="67" t="s">
        <v>71</v>
      </c>
      <c r="G299" s="67" t="s">
        <v>44</v>
      </c>
      <c r="H299" s="67" t="s">
        <v>98</v>
      </c>
      <c r="I299" s="71">
        <v>13</v>
      </c>
      <c r="J299" s="72">
        <v>720</v>
      </c>
      <c r="K299" s="73">
        <v>0.15</v>
      </c>
      <c r="L299" s="72">
        <v>380</v>
      </c>
      <c r="M299" s="68">
        <f t="shared" si="22"/>
        <v>7956</v>
      </c>
      <c r="N299" s="68">
        <f t="shared" si="23"/>
        <v>4940</v>
      </c>
      <c r="O299" s="68">
        <f t="shared" si="24"/>
        <v>3016</v>
      </c>
    </row>
    <row r="300" spans="1:15" x14ac:dyDescent="0.3">
      <c r="A300" s="67" t="s">
        <v>394</v>
      </c>
      <c r="B300" s="70">
        <v>45331</v>
      </c>
      <c r="C300" s="67">
        <f t="shared" si="20"/>
        <v>2024</v>
      </c>
      <c r="D300" s="67" t="str">
        <f t="shared" si="21"/>
        <v>02 Feb</v>
      </c>
      <c r="E300" s="67" t="s">
        <v>42</v>
      </c>
      <c r="F300" s="67" t="s">
        <v>71</v>
      </c>
      <c r="G300" s="67" t="s">
        <v>44</v>
      </c>
      <c r="H300" s="67" t="s">
        <v>89</v>
      </c>
      <c r="I300" s="71">
        <v>14</v>
      </c>
      <c r="J300" s="72">
        <v>680</v>
      </c>
      <c r="K300" s="73">
        <v>0.05</v>
      </c>
      <c r="L300" s="72">
        <v>380</v>
      </c>
      <c r="M300" s="68">
        <f t="shared" si="22"/>
        <v>9044</v>
      </c>
      <c r="N300" s="68">
        <f t="shared" si="23"/>
        <v>5320</v>
      </c>
      <c r="O300" s="68">
        <f t="shared" si="24"/>
        <v>3724</v>
      </c>
    </row>
    <row r="301" spans="1:15" x14ac:dyDescent="0.3">
      <c r="A301" s="67" t="s">
        <v>395</v>
      </c>
      <c r="B301" s="70">
        <v>45333</v>
      </c>
      <c r="C301" s="67">
        <f t="shared" si="20"/>
        <v>2024</v>
      </c>
      <c r="D301" s="67" t="str">
        <f t="shared" si="21"/>
        <v>02 Feb</v>
      </c>
      <c r="E301" s="67" t="s">
        <v>45</v>
      </c>
      <c r="F301" s="67" t="s">
        <v>66</v>
      </c>
      <c r="G301" s="67" t="s">
        <v>38</v>
      </c>
      <c r="H301" s="67" t="s">
        <v>87</v>
      </c>
      <c r="I301" s="71">
        <v>1</v>
      </c>
      <c r="J301" s="72">
        <v>14660</v>
      </c>
      <c r="K301" s="73">
        <v>0</v>
      </c>
      <c r="L301" s="72">
        <v>9500</v>
      </c>
      <c r="M301" s="68">
        <f t="shared" si="22"/>
        <v>14660</v>
      </c>
      <c r="N301" s="68">
        <f t="shared" si="23"/>
        <v>9500</v>
      </c>
      <c r="O301" s="68">
        <f t="shared" si="24"/>
        <v>5160</v>
      </c>
    </row>
    <row r="302" spans="1:15" x14ac:dyDescent="0.3">
      <c r="A302" s="67" t="s">
        <v>396</v>
      </c>
      <c r="B302" s="70">
        <v>45333</v>
      </c>
      <c r="C302" s="67">
        <f t="shared" si="20"/>
        <v>2024</v>
      </c>
      <c r="D302" s="67" t="str">
        <f t="shared" si="21"/>
        <v>02 Feb</v>
      </c>
      <c r="E302" s="67" t="s">
        <v>48</v>
      </c>
      <c r="F302" s="67" t="s">
        <v>66</v>
      </c>
      <c r="G302" s="67" t="s">
        <v>38</v>
      </c>
      <c r="H302" s="67" t="s">
        <v>98</v>
      </c>
      <c r="I302" s="71">
        <v>3</v>
      </c>
      <c r="J302" s="72">
        <v>14230</v>
      </c>
      <c r="K302" s="73">
        <v>0.05</v>
      </c>
      <c r="L302" s="72">
        <v>9500</v>
      </c>
      <c r="M302" s="68">
        <f t="shared" si="22"/>
        <v>40555.5</v>
      </c>
      <c r="N302" s="68">
        <f t="shared" si="23"/>
        <v>28500</v>
      </c>
      <c r="O302" s="68">
        <f t="shared" si="24"/>
        <v>12055.5</v>
      </c>
    </row>
    <row r="303" spans="1:15" x14ac:dyDescent="0.3">
      <c r="A303" s="67" t="s">
        <v>397</v>
      </c>
      <c r="B303" s="70">
        <v>45333</v>
      </c>
      <c r="C303" s="67">
        <f t="shared" si="20"/>
        <v>2024</v>
      </c>
      <c r="D303" s="67" t="str">
        <f t="shared" si="21"/>
        <v>02 Feb</v>
      </c>
      <c r="E303" s="67" t="s">
        <v>42</v>
      </c>
      <c r="F303" s="67" t="s">
        <v>70</v>
      </c>
      <c r="G303" s="67" t="s">
        <v>58</v>
      </c>
      <c r="H303" s="67" t="s">
        <v>112</v>
      </c>
      <c r="I303" s="71">
        <v>3</v>
      </c>
      <c r="J303" s="72">
        <v>9000</v>
      </c>
      <c r="K303" s="73">
        <v>0.05</v>
      </c>
      <c r="L303" s="72">
        <v>6000</v>
      </c>
      <c r="M303" s="68">
        <f t="shared" si="22"/>
        <v>25650</v>
      </c>
      <c r="N303" s="68">
        <f t="shared" si="23"/>
        <v>18000</v>
      </c>
      <c r="O303" s="68">
        <f t="shared" si="24"/>
        <v>7650</v>
      </c>
    </row>
    <row r="304" spans="1:15" x14ac:dyDescent="0.3">
      <c r="A304" s="67" t="s">
        <v>398</v>
      </c>
      <c r="B304" s="70">
        <v>45338</v>
      </c>
      <c r="C304" s="67">
        <f t="shared" si="20"/>
        <v>2024</v>
      </c>
      <c r="D304" s="67" t="str">
        <f t="shared" si="21"/>
        <v>02 Feb</v>
      </c>
      <c r="E304" s="67" t="s">
        <v>45</v>
      </c>
      <c r="F304" s="67" t="s">
        <v>71</v>
      </c>
      <c r="G304" s="67" t="s">
        <v>47</v>
      </c>
      <c r="H304" s="67" t="s">
        <v>87</v>
      </c>
      <c r="I304" s="71">
        <v>20</v>
      </c>
      <c r="J304" s="72">
        <v>290</v>
      </c>
      <c r="K304" s="73">
        <v>0.05</v>
      </c>
      <c r="L304" s="72">
        <v>160</v>
      </c>
      <c r="M304" s="68">
        <f t="shared" si="22"/>
        <v>5510</v>
      </c>
      <c r="N304" s="68">
        <f t="shared" si="23"/>
        <v>3200</v>
      </c>
      <c r="O304" s="68">
        <f t="shared" si="24"/>
        <v>2310</v>
      </c>
    </row>
    <row r="305" spans="1:15" x14ac:dyDescent="0.3">
      <c r="A305" s="67" t="s">
        <v>399</v>
      </c>
      <c r="B305" s="70">
        <v>45338</v>
      </c>
      <c r="C305" s="67">
        <f t="shared" si="20"/>
        <v>2024</v>
      </c>
      <c r="D305" s="67" t="str">
        <f t="shared" si="21"/>
        <v>02 Feb</v>
      </c>
      <c r="E305" s="67" t="s">
        <v>39</v>
      </c>
      <c r="F305" s="67" t="s">
        <v>71</v>
      </c>
      <c r="G305" s="67" t="s">
        <v>47</v>
      </c>
      <c r="H305" s="67" t="s">
        <v>107</v>
      </c>
      <c r="I305" s="71">
        <v>16</v>
      </c>
      <c r="J305" s="72">
        <v>310</v>
      </c>
      <c r="K305" s="73">
        <v>0</v>
      </c>
      <c r="L305" s="72">
        <v>160</v>
      </c>
      <c r="M305" s="68">
        <f t="shared" si="22"/>
        <v>4960</v>
      </c>
      <c r="N305" s="68">
        <f t="shared" si="23"/>
        <v>2560</v>
      </c>
      <c r="O305" s="68">
        <f t="shared" si="24"/>
        <v>2400</v>
      </c>
    </row>
    <row r="306" spans="1:15" x14ac:dyDescent="0.3">
      <c r="A306" s="67" t="s">
        <v>400</v>
      </c>
      <c r="B306" s="70">
        <v>45342</v>
      </c>
      <c r="C306" s="67">
        <f t="shared" si="20"/>
        <v>2024</v>
      </c>
      <c r="D306" s="67" t="str">
        <f t="shared" si="21"/>
        <v>02 Feb</v>
      </c>
      <c r="E306" s="67" t="s">
        <v>42</v>
      </c>
      <c r="F306" s="67" t="s">
        <v>70</v>
      </c>
      <c r="G306" s="67" t="s">
        <v>58</v>
      </c>
      <c r="H306" s="67" t="s">
        <v>89</v>
      </c>
      <c r="I306" s="71">
        <v>1</v>
      </c>
      <c r="J306" s="72">
        <v>9440</v>
      </c>
      <c r="K306" s="73">
        <v>0</v>
      </c>
      <c r="L306" s="72">
        <v>6000</v>
      </c>
      <c r="M306" s="68">
        <f t="shared" si="22"/>
        <v>9440</v>
      </c>
      <c r="N306" s="68">
        <f t="shared" si="23"/>
        <v>6000</v>
      </c>
      <c r="O306" s="68">
        <f t="shared" si="24"/>
        <v>3440</v>
      </c>
    </row>
    <row r="307" spans="1:15" x14ac:dyDescent="0.3">
      <c r="A307" s="67" t="s">
        <v>401</v>
      </c>
      <c r="B307" s="70">
        <v>45342</v>
      </c>
      <c r="C307" s="67">
        <f t="shared" si="20"/>
        <v>2024</v>
      </c>
      <c r="D307" s="67" t="str">
        <f t="shared" si="21"/>
        <v>02 Feb</v>
      </c>
      <c r="E307" s="67" t="s">
        <v>42</v>
      </c>
      <c r="F307" s="67" t="s">
        <v>66</v>
      </c>
      <c r="G307" s="67" t="s">
        <v>65</v>
      </c>
      <c r="H307" s="67" t="s">
        <v>112</v>
      </c>
      <c r="I307" s="71">
        <v>1</v>
      </c>
      <c r="J307" s="72">
        <v>13720</v>
      </c>
      <c r="K307" s="73">
        <v>0</v>
      </c>
      <c r="L307" s="72">
        <v>9000</v>
      </c>
      <c r="M307" s="68">
        <f t="shared" si="22"/>
        <v>13720</v>
      </c>
      <c r="N307" s="68">
        <f t="shared" si="23"/>
        <v>9000</v>
      </c>
      <c r="O307" s="68">
        <f t="shared" si="24"/>
        <v>4720</v>
      </c>
    </row>
    <row r="308" spans="1:15" x14ac:dyDescent="0.3">
      <c r="A308" s="67" t="s">
        <v>402</v>
      </c>
      <c r="B308" s="70">
        <v>45343</v>
      </c>
      <c r="C308" s="67">
        <f t="shared" si="20"/>
        <v>2024</v>
      </c>
      <c r="D308" s="67" t="str">
        <f t="shared" si="21"/>
        <v>02 Feb</v>
      </c>
      <c r="E308" s="67" t="s">
        <v>45</v>
      </c>
      <c r="F308" s="67" t="s">
        <v>71</v>
      </c>
      <c r="G308" s="67" t="s">
        <v>44</v>
      </c>
      <c r="H308" s="67" t="s">
        <v>93</v>
      </c>
      <c r="I308" s="71">
        <v>2</v>
      </c>
      <c r="J308" s="72">
        <v>710</v>
      </c>
      <c r="K308" s="73">
        <v>0</v>
      </c>
      <c r="L308" s="72">
        <v>380</v>
      </c>
      <c r="M308" s="68">
        <f t="shared" si="22"/>
        <v>1420</v>
      </c>
      <c r="N308" s="68">
        <f t="shared" si="23"/>
        <v>760</v>
      </c>
      <c r="O308" s="68">
        <f t="shared" si="24"/>
        <v>660</v>
      </c>
    </row>
    <row r="309" spans="1:15" x14ac:dyDescent="0.3">
      <c r="A309" s="67" t="s">
        <v>403</v>
      </c>
      <c r="B309" s="70">
        <v>45344</v>
      </c>
      <c r="C309" s="67">
        <f t="shared" si="20"/>
        <v>2024</v>
      </c>
      <c r="D309" s="67" t="str">
        <f t="shared" si="21"/>
        <v>02 Feb</v>
      </c>
      <c r="E309" s="67" t="s">
        <v>39</v>
      </c>
      <c r="F309" s="67" t="s">
        <v>71</v>
      </c>
      <c r="G309" s="67" t="s">
        <v>47</v>
      </c>
      <c r="H309" s="67" t="s">
        <v>107</v>
      </c>
      <c r="I309" s="71">
        <v>38</v>
      </c>
      <c r="J309" s="72">
        <v>290</v>
      </c>
      <c r="K309" s="73">
        <v>0.05</v>
      </c>
      <c r="L309" s="72">
        <v>160</v>
      </c>
      <c r="M309" s="68">
        <f t="shared" si="22"/>
        <v>10469</v>
      </c>
      <c r="N309" s="68">
        <f t="shared" si="23"/>
        <v>6080</v>
      </c>
      <c r="O309" s="68">
        <f t="shared" si="24"/>
        <v>4389</v>
      </c>
    </row>
    <row r="310" spans="1:15" x14ac:dyDescent="0.3">
      <c r="A310" s="67" t="s">
        <v>404</v>
      </c>
      <c r="B310" s="70">
        <v>45345</v>
      </c>
      <c r="C310" s="67">
        <f t="shared" si="20"/>
        <v>2024</v>
      </c>
      <c r="D310" s="67" t="str">
        <f t="shared" si="21"/>
        <v>02 Feb</v>
      </c>
      <c r="E310" s="67" t="s">
        <v>48</v>
      </c>
      <c r="F310" s="67" t="s">
        <v>69</v>
      </c>
      <c r="G310" s="67" t="s">
        <v>50</v>
      </c>
      <c r="H310" s="67" t="s">
        <v>95</v>
      </c>
      <c r="I310" s="71">
        <v>2</v>
      </c>
      <c r="J310" s="72">
        <v>57330</v>
      </c>
      <c r="K310" s="73">
        <v>0.05</v>
      </c>
      <c r="L310" s="72">
        <v>42000</v>
      </c>
      <c r="M310" s="68">
        <f t="shared" si="22"/>
        <v>108927</v>
      </c>
      <c r="N310" s="68">
        <f t="shared" si="23"/>
        <v>84000</v>
      </c>
      <c r="O310" s="68">
        <f t="shared" si="24"/>
        <v>24927</v>
      </c>
    </row>
    <row r="311" spans="1:15" x14ac:dyDescent="0.3">
      <c r="A311" s="67" t="s">
        <v>405</v>
      </c>
      <c r="B311" s="70">
        <v>45349</v>
      </c>
      <c r="C311" s="67">
        <f t="shared" si="20"/>
        <v>2024</v>
      </c>
      <c r="D311" s="67" t="str">
        <f t="shared" si="21"/>
        <v>02 Feb</v>
      </c>
      <c r="E311" s="67" t="s">
        <v>42</v>
      </c>
      <c r="F311" s="67" t="s">
        <v>70</v>
      </c>
      <c r="G311" s="67" t="s">
        <v>58</v>
      </c>
      <c r="H311" s="67" t="s">
        <v>112</v>
      </c>
      <c r="I311" s="71">
        <v>1</v>
      </c>
      <c r="J311" s="72">
        <v>9290</v>
      </c>
      <c r="K311" s="73">
        <v>0</v>
      </c>
      <c r="L311" s="72">
        <v>6000</v>
      </c>
      <c r="M311" s="68">
        <f t="shared" si="22"/>
        <v>9290</v>
      </c>
      <c r="N311" s="68">
        <f t="shared" si="23"/>
        <v>6000</v>
      </c>
      <c r="O311" s="68">
        <f t="shared" si="24"/>
        <v>3290</v>
      </c>
    </row>
    <row r="312" spans="1:15" x14ac:dyDescent="0.3">
      <c r="A312" s="67" t="s">
        <v>406</v>
      </c>
      <c r="B312" s="70">
        <v>45349</v>
      </c>
      <c r="C312" s="67">
        <f t="shared" si="20"/>
        <v>2024</v>
      </c>
      <c r="D312" s="67" t="str">
        <f t="shared" si="21"/>
        <v>02 Feb</v>
      </c>
      <c r="E312" s="67" t="s">
        <v>45</v>
      </c>
      <c r="F312" s="67" t="s">
        <v>69</v>
      </c>
      <c r="G312" s="67" t="s">
        <v>68</v>
      </c>
      <c r="H312" s="67" t="s">
        <v>87</v>
      </c>
      <c r="I312" s="71">
        <v>1</v>
      </c>
      <c r="J312" s="72">
        <v>3590</v>
      </c>
      <c r="K312" s="73">
        <v>0</v>
      </c>
      <c r="L312" s="72">
        <v>2000</v>
      </c>
      <c r="M312" s="68">
        <f t="shared" si="22"/>
        <v>3590</v>
      </c>
      <c r="N312" s="68">
        <f t="shared" si="23"/>
        <v>2000</v>
      </c>
      <c r="O312" s="68">
        <f t="shared" si="24"/>
        <v>1590</v>
      </c>
    </row>
    <row r="313" spans="1:15" x14ac:dyDescent="0.3">
      <c r="A313" s="67" t="s">
        <v>407</v>
      </c>
      <c r="B313" s="70">
        <v>45355</v>
      </c>
      <c r="C313" s="67">
        <f t="shared" si="20"/>
        <v>2024</v>
      </c>
      <c r="D313" s="67" t="str">
        <f t="shared" si="21"/>
        <v>03 Mar</v>
      </c>
      <c r="E313" s="67" t="s">
        <v>48</v>
      </c>
      <c r="F313" s="67" t="s">
        <v>69</v>
      </c>
      <c r="G313" s="67" t="s">
        <v>50</v>
      </c>
      <c r="H313" s="67" t="s">
        <v>98</v>
      </c>
      <c r="I313" s="71">
        <v>1</v>
      </c>
      <c r="J313" s="72">
        <v>52590</v>
      </c>
      <c r="K313" s="73">
        <v>0</v>
      </c>
      <c r="L313" s="72">
        <v>42000</v>
      </c>
      <c r="M313" s="68">
        <f t="shared" si="22"/>
        <v>52590</v>
      </c>
      <c r="N313" s="68">
        <f t="shared" si="23"/>
        <v>42000</v>
      </c>
      <c r="O313" s="68">
        <f t="shared" si="24"/>
        <v>10590</v>
      </c>
    </row>
    <row r="314" spans="1:15" x14ac:dyDescent="0.3">
      <c r="A314" s="67" t="s">
        <v>408</v>
      </c>
      <c r="B314" s="70">
        <v>45358</v>
      </c>
      <c r="C314" s="67">
        <f t="shared" si="20"/>
        <v>2024</v>
      </c>
      <c r="D314" s="67" t="str">
        <f t="shared" si="21"/>
        <v>03 Mar</v>
      </c>
      <c r="E314" s="67" t="s">
        <v>48</v>
      </c>
      <c r="F314" s="67" t="s">
        <v>69</v>
      </c>
      <c r="G314" s="67" t="s">
        <v>68</v>
      </c>
      <c r="H314" s="67" t="s">
        <v>98</v>
      </c>
      <c r="I314" s="71">
        <v>5</v>
      </c>
      <c r="J314" s="72">
        <v>3430</v>
      </c>
      <c r="K314" s="73">
        <v>0.1</v>
      </c>
      <c r="L314" s="72">
        <v>2000</v>
      </c>
      <c r="M314" s="68">
        <f t="shared" si="22"/>
        <v>15435</v>
      </c>
      <c r="N314" s="68">
        <f t="shared" si="23"/>
        <v>10000</v>
      </c>
      <c r="O314" s="68">
        <f t="shared" si="24"/>
        <v>5435</v>
      </c>
    </row>
    <row r="315" spans="1:15" x14ac:dyDescent="0.3">
      <c r="A315" s="67" t="s">
        <v>409</v>
      </c>
      <c r="B315" s="70">
        <v>45359</v>
      </c>
      <c r="C315" s="67">
        <f t="shared" si="20"/>
        <v>2024</v>
      </c>
      <c r="D315" s="67" t="str">
        <f t="shared" si="21"/>
        <v>03 Mar</v>
      </c>
      <c r="E315" s="67" t="s">
        <v>45</v>
      </c>
      <c r="F315" s="67" t="s">
        <v>70</v>
      </c>
      <c r="G315" s="67" t="s">
        <v>62</v>
      </c>
      <c r="H315" s="67" t="s">
        <v>87</v>
      </c>
      <c r="I315" s="71">
        <v>1</v>
      </c>
      <c r="J315" s="72">
        <v>17630</v>
      </c>
      <c r="K315" s="73">
        <v>0.15</v>
      </c>
      <c r="L315" s="72">
        <v>12500</v>
      </c>
      <c r="M315" s="68">
        <f t="shared" si="22"/>
        <v>14985.5</v>
      </c>
      <c r="N315" s="68">
        <f t="shared" si="23"/>
        <v>12500</v>
      </c>
      <c r="O315" s="68">
        <f t="shared" si="24"/>
        <v>2485.5</v>
      </c>
    </row>
    <row r="316" spans="1:15" x14ac:dyDescent="0.3">
      <c r="A316" s="67" t="s">
        <v>410</v>
      </c>
      <c r="B316" s="70">
        <v>45359</v>
      </c>
      <c r="C316" s="67">
        <f t="shared" si="20"/>
        <v>2024</v>
      </c>
      <c r="D316" s="67" t="str">
        <f t="shared" si="21"/>
        <v>03 Mar</v>
      </c>
      <c r="E316" s="67" t="s">
        <v>45</v>
      </c>
      <c r="F316" s="67" t="s">
        <v>69</v>
      </c>
      <c r="G316" s="67" t="s">
        <v>50</v>
      </c>
      <c r="H316" s="67" t="s">
        <v>93</v>
      </c>
      <c r="I316" s="71">
        <v>1</v>
      </c>
      <c r="J316" s="72">
        <v>54170</v>
      </c>
      <c r="K316" s="73">
        <v>0.05</v>
      </c>
      <c r="L316" s="72">
        <v>42000</v>
      </c>
      <c r="M316" s="68">
        <f t="shared" si="22"/>
        <v>51461.5</v>
      </c>
      <c r="N316" s="68">
        <f t="shared" si="23"/>
        <v>42000</v>
      </c>
      <c r="O316" s="68">
        <f t="shared" si="24"/>
        <v>9461.5</v>
      </c>
    </row>
    <row r="317" spans="1:15" x14ac:dyDescent="0.3">
      <c r="A317" s="67" t="s">
        <v>411</v>
      </c>
      <c r="B317" s="70">
        <v>45359</v>
      </c>
      <c r="C317" s="67">
        <f t="shared" si="20"/>
        <v>2024</v>
      </c>
      <c r="D317" s="67" t="str">
        <f t="shared" si="21"/>
        <v>03 Mar</v>
      </c>
      <c r="E317" s="67" t="s">
        <v>45</v>
      </c>
      <c r="F317" s="67" t="s">
        <v>66</v>
      </c>
      <c r="G317" s="67" t="s">
        <v>53</v>
      </c>
      <c r="H317" s="67" t="s">
        <v>87</v>
      </c>
      <c r="I317" s="71">
        <v>3</v>
      </c>
      <c r="J317" s="72">
        <v>10560</v>
      </c>
      <c r="K317" s="73">
        <v>0.05</v>
      </c>
      <c r="L317" s="72">
        <v>8000</v>
      </c>
      <c r="M317" s="68">
        <f t="shared" si="22"/>
        <v>30096</v>
      </c>
      <c r="N317" s="68">
        <f t="shared" si="23"/>
        <v>24000</v>
      </c>
      <c r="O317" s="68">
        <f t="shared" si="24"/>
        <v>6096</v>
      </c>
    </row>
    <row r="318" spans="1:15" x14ac:dyDescent="0.3">
      <c r="A318" s="67" t="s">
        <v>412</v>
      </c>
      <c r="B318" s="70">
        <v>45361</v>
      </c>
      <c r="C318" s="67">
        <f t="shared" si="20"/>
        <v>2024</v>
      </c>
      <c r="D318" s="67" t="str">
        <f t="shared" si="21"/>
        <v>03 Mar</v>
      </c>
      <c r="E318" s="67" t="s">
        <v>45</v>
      </c>
      <c r="F318" s="67" t="s">
        <v>70</v>
      </c>
      <c r="G318" s="67" t="s">
        <v>62</v>
      </c>
      <c r="H318" s="67" t="s">
        <v>93</v>
      </c>
      <c r="I318" s="71">
        <v>2</v>
      </c>
      <c r="J318" s="72">
        <v>18550</v>
      </c>
      <c r="K318" s="73">
        <v>0</v>
      </c>
      <c r="L318" s="72">
        <v>12500</v>
      </c>
      <c r="M318" s="68">
        <f t="shared" si="22"/>
        <v>37100</v>
      </c>
      <c r="N318" s="68">
        <f t="shared" si="23"/>
        <v>25000</v>
      </c>
      <c r="O318" s="68">
        <f t="shared" si="24"/>
        <v>12100</v>
      </c>
    </row>
    <row r="319" spans="1:15" x14ac:dyDescent="0.3">
      <c r="A319" s="67" t="s">
        <v>413</v>
      </c>
      <c r="B319" s="70">
        <v>45361</v>
      </c>
      <c r="C319" s="67">
        <f t="shared" si="20"/>
        <v>2024</v>
      </c>
      <c r="D319" s="67" t="str">
        <f t="shared" si="21"/>
        <v>03 Mar</v>
      </c>
      <c r="E319" s="67" t="s">
        <v>36</v>
      </c>
      <c r="F319" s="67" t="s">
        <v>71</v>
      </c>
      <c r="G319" s="67" t="s">
        <v>55</v>
      </c>
      <c r="H319" s="67" t="s">
        <v>91</v>
      </c>
      <c r="I319" s="71">
        <v>39</v>
      </c>
      <c r="J319" s="72">
        <v>470</v>
      </c>
      <c r="K319" s="73">
        <v>0.15</v>
      </c>
      <c r="L319" s="72">
        <v>250</v>
      </c>
      <c r="M319" s="68">
        <f t="shared" si="22"/>
        <v>15580.5</v>
      </c>
      <c r="N319" s="68">
        <f t="shared" si="23"/>
        <v>9750</v>
      </c>
      <c r="O319" s="68">
        <f t="shared" si="24"/>
        <v>5830.5</v>
      </c>
    </row>
    <row r="320" spans="1:15" x14ac:dyDescent="0.3">
      <c r="A320" s="67" t="s">
        <v>414</v>
      </c>
      <c r="B320" s="70">
        <v>45362</v>
      </c>
      <c r="C320" s="67">
        <f t="shared" si="20"/>
        <v>2024</v>
      </c>
      <c r="D320" s="67" t="str">
        <f t="shared" si="21"/>
        <v>03 Mar</v>
      </c>
      <c r="E320" s="67" t="s">
        <v>48</v>
      </c>
      <c r="F320" s="67" t="s">
        <v>69</v>
      </c>
      <c r="G320" s="67" t="s">
        <v>50</v>
      </c>
      <c r="H320" s="67" t="s">
        <v>98</v>
      </c>
      <c r="I320" s="71">
        <v>1</v>
      </c>
      <c r="J320" s="72">
        <v>57730</v>
      </c>
      <c r="K320" s="73">
        <v>0.05</v>
      </c>
      <c r="L320" s="72">
        <v>42000</v>
      </c>
      <c r="M320" s="68">
        <f t="shared" si="22"/>
        <v>54843.5</v>
      </c>
      <c r="N320" s="68">
        <f t="shared" si="23"/>
        <v>42000</v>
      </c>
      <c r="O320" s="68">
        <f t="shared" si="24"/>
        <v>12843.5</v>
      </c>
    </row>
    <row r="321" spans="1:15" x14ac:dyDescent="0.3">
      <c r="A321" s="67" t="s">
        <v>415</v>
      </c>
      <c r="B321" s="70">
        <v>45363</v>
      </c>
      <c r="C321" s="67">
        <f t="shared" si="20"/>
        <v>2024</v>
      </c>
      <c r="D321" s="67" t="str">
        <f t="shared" si="21"/>
        <v>03 Mar</v>
      </c>
      <c r="E321" s="67" t="s">
        <v>45</v>
      </c>
      <c r="F321" s="67" t="s">
        <v>69</v>
      </c>
      <c r="G321" s="67" t="s">
        <v>50</v>
      </c>
      <c r="H321" s="67" t="s">
        <v>93</v>
      </c>
      <c r="I321" s="71">
        <v>1</v>
      </c>
      <c r="J321" s="72">
        <v>56020</v>
      </c>
      <c r="K321" s="73">
        <v>0.05</v>
      </c>
      <c r="L321" s="72">
        <v>42000</v>
      </c>
      <c r="M321" s="68">
        <f t="shared" si="22"/>
        <v>53219</v>
      </c>
      <c r="N321" s="68">
        <f t="shared" si="23"/>
        <v>42000</v>
      </c>
      <c r="O321" s="68">
        <f t="shared" si="24"/>
        <v>11219</v>
      </c>
    </row>
    <row r="322" spans="1:15" x14ac:dyDescent="0.3">
      <c r="A322" s="67" t="s">
        <v>416</v>
      </c>
      <c r="B322" s="70">
        <v>45364</v>
      </c>
      <c r="C322" s="67">
        <f t="shared" ref="C322:C385" si="25">YEAR(B322)</f>
        <v>2024</v>
      </c>
      <c r="D322" s="67" t="str">
        <f t="shared" ref="D322:D385" si="26">CHOOSE(MONTH(B322),"01 Jan","02 Feb","03 Mar","04 Apr","05 May","06 Jun","07 Jul","08 Aug","09 Sep","10 Oct","11 Nov","12 Dec")</f>
        <v>03 Mar</v>
      </c>
      <c r="E322" s="67" t="s">
        <v>48</v>
      </c>
      <c r="F322" s="67" t="s">
        <v>69</v>
      </c>
      <c r="G322" s="67" t="s">
        <v>60</v>
      </c>
      <c r="H322" s="67" t="s">
        <v>95</v>
      </c>
      <c r="I322" s="71">
        <v>3</v>
      </c>
      <c r="J322" s="72">
        <v>23610</v>
      </c>
      <c r="K322" s="73">
        <v>0.05</v>
      </c>
      <c r="L322" s="72">
        <v>18000</v>
      </c>
      <c r="M322" s="68">
        <f t="shared" ref="M322:M385" si="27">I322*J322*(1-K322)</f>
        <v>67288.5</v>
      </c>
      <c r="N322" s="68">
        <f t="shared" ref="N322:N385" si="28">I322*L322</f>
        <v>54000</v>
      </c>
      <c r="O322" s="68">
        <f t="shared" ref="O322:O385" si="29">M322-N322</f>
        <v>13288.5</v>
      </c>
    </row>
    <row r="323" spans="1:15" x14ac:dyDescent="0.3">
      <c r="A323" s="67" t="s">
        <v>417</v>
      </c>
      <c r="B323" s="70">
        <v>45368</v>
      </c>
      <c r="C323" s="67">
        <f t="shared" si="25"/>
        <v>2024</v>
      </c>
      <c r="D323" s="67" t="str">
        <f t="shared" si="26"/>
        <v>03 Mar</v>
      </c>
      <c r="E323" s="67" t="s">
        <v>48</v>
      </c>
      <c r="F323" s="67" t="s">
        <v>69</v>
      </c>
      <c r="G323" s="67" t="s">
        <v>50</v>
      </c>
      <c r="H323" s="67" t="s">
        <v>98</v>
      </c>
      <c r="I323" s="71">
        <v>1</v>
      </c>
      <c r="J323" s="72">
        <v>53340</v>
      </c>
      <c r="K323" s="73">
        <v>0</v>
      </c>
      <c r="L323" s="72">
        <v>42000</v>
      </c>
      <c r="M323" s="68">
        <f t="shared" si="27"/>
        <v>53340</v>
      </c>
      <c r="N323" s="68">
        <f t="shared" si="28"/>
        <v>42000</v>
      </c>
      <c r="O323" s="68">
        <f t="shared" si="29"/>
        <v>11340</v>
      </c>
    </row>
    <row r="324" spans="1:15" x14ac:dyDescent="0.3">
      <c r="A324" s="67" t="s">
        <v>418</v>
      </c>
      <c r="B324" s="70">
        <v>45368</v>
      </c>
      <c r="C324" s="67">
        <f t="shared" si="25"/>
        <v>2024</v>
      </c>
      <c r="D324" s="67" t="str">
        <f t="shared" si="26"/>
        <v>03 Mar</v>
      </c>
      <c r="E324" s="67" t="s">
        <v>45</v>
      </c>
      <c r="F324" s="67" t="s">
        <v>71</v>
      </c>
      <c r="G324" s="67" t="s">
        <v>47</v>
      </c>
      <c r="H324" s="67" t="s">
        <v>93</v>
      </c>
      <c r="I324" s="71">
        <v>9</v>
      </c>
      <c r="J324" s="72">
        <v>310</v>
      </c>
      <c r="K324" s="73">
        <v>0.05</v>
      </c>
      <c r="L324" s="72">
        <v>160</v>
      </c>
      <c r="M324" s="68">
        <f t="shared" si="27"/>
        <v>2650.5</v>
      </c>
      <c r="N324" s="68">
        <f t="shared" si="28"/>
        <v>1440</v>
      </c>
      <c r="O324" s="68">
        <f t="shared" si="29"/>
        <v>1210.5</v>
      </c>
    </row>
    <row r="325" spans="1:15" x14ac:dyDescent="0.3">
      <c r="A325" s="67" t="s">
        <v>419</v>
      </c>
      <c r="B325" s="70">
        <v>45370</v>
      </c>
      <c r="C325" s="67">
        <f t="shared" si="25"/>
        <v>2024</v>
      </c>
      <c r="D325" s="67" t="str">
        <f t="shared" si="26"/>
        <v>03 Mar</v>
      </c>
      <c r="E325" s="67" t="s">
        <v>48</v>
      </c>
      <c r="F325" s="67" t="s">
        <v>70</v>
      </c>
      <c r="G325" s="67" t="s">
        <v>62</v>
      </c>
      <c r="H325" s="67" t="s">
        <v>98</v>
      </c>
      <c r="I325" s="71">
        <v>2</v>
      </c>
      <c r="J325" s="72">
        <v>17610</v>
      </c>
      <c r="K325" s="73">
        <v>0</v>
      </c>
      <c r="L325" s="72">
        <v>12500</v>
      </c>
      <c r="M325" s="68">
        <f t="shared" si="27"/>
        <v>35220</v>
      </c>
      <c r="N325" s="68">
        <f t="shared" si="28"/>
        <v>25000</v>
      </c>
      <c r="O325" s="68">
        <f t="shared" si="29"/>
        <v>10220</v>
      </c>
    </row>
    <row r="326" spans="1:15" x14ac:dyDescent="0.3">
      <c r="A326" s="67" t="s">
        <v>420</v>
      </c>
      <c r="B326" s="70">
        <v>45370</v>
      </c>
      <c r="C326" s="67">
        <f t="shared" si="25"/>
        <v>2024</v>
      </c>
      <c r="D326" s="67" t="str">
        <f t="shared" si="26"/>
        <v>03 Mar</v>
      </c>
      <c r="E326" s="67" t="s">
        <v>45</v>
      </c>
      <c r="F326" s="67" t="s">
        <v>69</v>
      </c>
      <c r="G326" s="67" t="s">
        <v>68</v>
      </c>
      <c r="H326" s="67" t="s">
        <v>87</v>
      </c>
      <c r="I326" s="71">
        <v>2</v>
      </c>
      <c r="J326" s="72">
        <v>3400</v>
      </c>
      <c r="K326" s="73">
        <v>0.15</v>
      </c>
      <c r="L326" s="72">
        <v>2000</v>
      </c>
      <c r="M326" s="68">
        <f t="shared" si="27"/>
        <v>5780</v>
      </c>
      <c r="N326" s="68">
        <f t="shared" si="28"/>
        <v>4000</v>
      </c>
      <c r="O326" s="68">
        <f t="shared" si="29"/>
        <v>1780</v>
      </c>
    </row>
    <row r="327" spans="1:15" x14ac:dyDescent="0.3">
      <c r="A327" s="67" t="s">
        <v>421</v>
      </c>
      <c r="B327" s="70">
        <v>45370</v>
      </c>
      <c r="C327" s="67">
        <f t="shared" si="25"/>
        <v>2024</v>
      </c>
      <c r="D327" s="67" t="str">
        <f t="shared" si="26"/>
        <v>03 Mar</v>
      </c>
      <c r="E327" s="67" t="s">
        <v>48</v>
      </c>
      <c r="F327" s="67" t="s">
        <v>71</v>
      </c>
      <c r="G327" s="67" t="s">
        <v>47</v>
      </c>
      <c r="H327" s="67" t="s">
        <v>98</v>
      </c>
      <c r="I327" s="71">
        <v>14</v>
      </c>
      <c r="J327" s="72">
        <v>310</v>
      </c>
      <c r="K327" s="73">
        <v>0</v>
      </c>
      <c r="L327" s="72">
        <v>160</v>
      </c>
      <c r="M327" s="68">
        <f t="shared" si="27"/>
        <v>4340</v>
      </c>
      <c r="N327" s="68">
        <f t="shared" si="28"/>
        <v>2240</v>
      </c>
      <c r="O327" s="68">
        <f t="shared" si="29"/>
        <v>2100</v>
      </c>
    </row>
    <row r="328" spans="1:15" x14ac:dyDescent="0.3">
      <c r="A328" s="67" t="s">
        <v>422</v>
      </c>
      <c r="B328" s="70">
        <v>45372</v>
      </c>
      <c r="C328" s="67">
        <f t="shared" si="25"/>
        <v>2024</v>
      </c>
      <c r="D328" s="67" t="str">
        <f t="shared" si="26"/>
        <v>03 Mar</v>
      </c>
      <c r="E328" s="67" t="s">
        <v>39</v>
      </c>
      <c r="F328" s="67" t="s">
        <v>69</v>
      </c>
      <c r="G328" s="67" t="s">
        <v>68</v>
      </c>
      <c r="H328" s="67" t="s">
        <v>100</v>
      </c>
      <c r="I328" s="71">
        <v>6</v>
      </c>
      <c r="J328" s="72">
        <v>3470</v>
      </c>
      <c r="K328" s="73">
        <v>0.15</v>
      </c>
      <c r="L328" s="72">
        <v>2000</v>
      </c>
      <c r="M328" s="68">
        <f t="shared" si="27"/>
        <v>17697</v>
      </c>
      <c r="N328" s="68">
        <f t="shared" si="28"/>
        <v>12000</v>
      </c>
      <c r="O328" s="68">
        <f t="shared" si="29"/>
        <v>5697</v>
      </c>
    </row>
    <row r="329" spans="1:15" x14ac:dyDescent="0.3">
      <c r="A329" s="67" t="s">
        <v>423</v>
      </c>
      <c r="B329" s="70">
        <v>45372</v>
      </c>
      <c r="C329" s="67">
        <f t="shared" si="25"/>
        <v>2024</v>
      </c>
      <c r="D329" s="67" t="str">
        <f t="shared" si="26"/>
        <v>03 Mar</v>
      </c>
      <c r="E329" s="67" t="s">
        <v>45</v>
      </c>
      <c r="F329" s="67" t="s">
        <v>70</v>
      </c>
      <c r="G329" s="67" t="s">
        <v>62</v>
      </c>
      <c r="H329" s="67" t="s">
        <v>93</v>
      </c>
      <c r="I329" s="71">
        <v>2</v>
      </c>
      <c r="J329" s="72">
        <v>18770</v>
      </c>
      <c r="K329" s="73">
        <v>0</v>
      </c>
      <c r="L329" s="72">
        <v>12500</v>
      </c>
      <c r="M329" s="68">
        <f t="shared" si="27"/>
        <v>37540</v>
      </c>
      <c r="N329" s="68">
        <f t="shared" si="28"/>
        <v>25000</v>
      </c>
      <c r="O329" s="68">
        <f t="shared" si="29"/>
        <v>12540</v>
      </c>
    </row>
    <row r="330" spans="1:15" x14ac:dyDescent="0.3">
      <c r="A330" s="67" t="s">
        <v>424</v>
      </c>
      <c r="B330" s="70">
        <v>45374</v>
      </c>
      <c r="C330" s="67">
        <f t="shared" si="25"/>
        <v>2024</v>
      </c>
      <c r="D330" s="67" t="str">
        <f t="shared" si="26"/>
        <v>03 Mar</v>
      </c>
      <c r="E330" s="67" t="s">
        <v>39</v>
      </c>
      <c r="F330" s="67" t="s">
        <v>69</v>
      </c>
      <c r="G330" s="67" t="s">
        <v>50</v>
      </c>
      <c r="H330" s="67" t="s">
        <v>100</v>
      </c>
      <c r="I330" s="71">
        <v>1</v>
      </c>
      <c r="J330" s="72">
        <v>54500</v>
      </c>
      <c r="K330" s="73">
        <v>0.05</v>
      </c>
      <c r="L330" s="72">
        <v>42000</v>
      </c>
      <c r="M330" s="68">
        <f t="shared" si="27"/>
        <v>51775</v>
      </c>
      <c r="N330" s="68">
        <f t="shared" si="28"/>
        <v>42000</v>
      </c>
      <c r="O330" s="68">
        <f t="shared" si="29"/>
        <v>9775</v>
      </c>
    </row>
    <row r="331" spans="1:15" x14ac:dyDescent="0.3">
      <c r="A331" s="67" t="s">
        <v>425</v>
      </c>
      <c r="B331" s="70">
        <v>45374</v>
      </c>
      <c r="C331" s="67">
        <f t="shared" si="25"/>
        <v>2024</v>
      </c>
      <c r="D331" s="67" t="str">
        <f t="shared" si="26"/>
        <v>03 Mar</v>
      </c>
      <c r="E331" s="67" t="s">
        <v>42</v>
      </c>
      <c r="F331" s="67" t="s">
        <v>69</v>
      </c>
      <c r="G331" s="67" t="s">
        <v>60</v>
      </c>
      <c r="H331" s="67" t="s">
        <v>89</v>
      </c>
      <c r="I331" s="71">
        <v>1</v>
      </c>
      <c r="J331" s="72">
        <v>25080</v>
      </c>
      <c r="K331" s="73">
        <v>0.05</v>
      </c>
      <c r="L331" s="72">
        <v>18000</v>
      </c>
      <c r="M331" s="68">
        <f t="shared" si="27"/>
        <v>23826</v>
      </c>
      <c r="N331" s="68">
        <f t="shared" si="28"/>
        <v>18000</v>
      </c>
      <c r="O331" s="68">
        <f t="shared" si="29"/>
        <v>5826</v>
      </c>
    </row>
    <row r="332" spans="1:15" x14ac:dyDescent="0.3">
      <c r="A332" s="67" t="s">
        <v>426</v>
      </c>
      <c r="B332" s="70">
        <v>45375</v>
      </c>
      <c r="C332" s="67">
        <f t="shared" si="25"/>
        <v>2024</v>
      </c>
      <c r="D332" s="67" t="str">
        <f t="shared" si="26"/>
        <v>03 Mar</v>
      </c>
      <c r="E332" s="67" t="s">
        <v>45</v>
      </c>
      <c r="F332" s="67" t="s">
        <v>71</v>
      </c>
      <c r="G332" s="67" t="s">
        <v>47</v>
      </c>
      <c r="H332" s="67" t="s">
        <v>93</v>
      </c>
      <c r="I332" s="71">
        <v>32</v>
      </c>
      <c r="J332" s="72">
        <v>310</v>
      </c>
      <c r="K332" s="73">
        <v>0</v>
      </c>
      <c r="L332" s="72">
        <v>160</v>
      </c>
      <c r="M332" s="68">
        <f t="shared" si="27"/>
        <v>9920</v>
      </c>
      <c r="N332" s="68">
        <f t="shared" si="28"/>
        <v>5120</v>
      </c>
      <c r="O332" s="68">
        <f t="shared" si="29"/>
        <v>4800</v>
      </c>
    </row>
    <row r="333" spans="1:15" x14ac:dyDescent="0.3">
      <c r="A333" s="67" t="s">
        <v>427</v>
      </c>
      <c r="B333" s="70">
        <v>45379</v>
      </c>
      <c r="C333" s="67">
        <f t="shared" si="25"/>
        <v>2024</v>
      </c>
      <c r="D333" s="67" t="str">
        <f t="shared" si="26"/>
        <v>03 Mar</v>
      </c>
      <c r="E333" s="67" t="s">
        <v>45</v>
      </c>
      <c r="F333" s="67" t="s">
        <v>69</v>
      </c>
      <c r="G333" s="67" t="s">
        <v>68</v>
      </c>
      <c r="H333" s="67" t="s">
        <v>87</v>
      </c>
      <c r="I333" s="71">
        <v>5</v>
      </c>
      <c r="J333" s="72">
        <v>3640</v>
      </c>
      <c r="K333" s="73">
        <v>0.05</v>
      </c>
      <c r="L333" s="72">
        <v>2000</v>
      </c>
      <c r="M333" s="68">
        <f t="shared" si="27"/>
        <v>17290</v>
      </c>
      <c r="N333" s="68">
        <f t="shared" si="28"/>
        <v>10000</v>
      </c>
      <c r="O333" s="68">
        <f t="shared" si="29"/>
        <v>7290</v>
      </c>
    </row>
    <row r="334" spans="1:15" x14ac:dyDescent="0.3">
      <c r="A334" s="67" t="s">
        <v>428</v>
      </c>
      <c r="B334" s="70">
        <v>45384</v>
      </c>
      <c r="C334" s="67">
        <f t="shared" si="25"/>
        <v>2024</v>
      </c>
      <c r="D334" s="67" t="str">
        <f t="shared" si="26"/>
        <v>04 Apr</v>
      </c>
      <c r="E334" s="67" t="s">
        <v>42</v>
      </c>
      <c r="F334" s="67" t="s">
        <v>71</v>
      </c>
      <c r="G334" s="67" t="s">
        <v>55</v>
      </c>
      <c r="H334" s="67" t="s">
        <v>112</v>
      </c>
      <c r="I334" s="71">
        <v>5</v>
      </c>
      <c r="J334" s="72">
        <v>470</v>
      </c>
      <c r="K334" s="73">
        <v>0.15</v>
      </c>
      <c r="L334" s="72">
        <v>250</v>
      </c>
      <c r="M334" s="68">
        <f t="shared" si="27"/>
        <v>1997.5</v>
      </c>
      <c r="N334" s="68">
        <f t="shared" si="28"/>
        <v>1250</v>
      </c>
      <c r="O334" s="68">
        <f t="shared" si="29"/>
        <v>747.5</v>
      </c>
    </row>
    <row r="335" spans="1:15" x14ac:dyDescent="0.3">
      <c r="A335" s="67" t="s">
        <v>429</v>
      </c>
      <c r="B335" s="70">
        <v>45385</v>
      </c>
      <c r="C335" s="67">
        <f t="shared" si="25"/>
        <v>2024</v>
      </c>
      <c r="D335" s="67" t="str">
        <f t="shared" si="26"/>
        <v>04 Apr</v>
      </c>
      <c r="E335" s="67" t="s">
        <v>36</v>
      </c>
      <c r="F335" s="67" t="s">
        <v>69</v>
      </c>
      <c r="G335" s="67" t="s">
        <v>60</v>
      </c>
      <c r="H335" s="67" t="s">
        <v>91</v>
      </c>
      <c r="I335" s="71">
        <v>3</v>
      </c>
      <c r="J335" s="72">
        <v>25080</v>
      </c>
      <c r="K335" s="73">
        <v>0</v>
      </c>
      <c r="L335" s="72">
        <v>18000</v>
      </c>
      <c r="M335" s="68">
        <f t="shared" si="27"/>
        <v>75240</v>
      </c>
      <c r="N335" s="68">
        <f t="shared" si="28"/>
        <v>54000</v>
      </c>
      <c r="O335" s="68">
        <f t="shared" si="29"/>
        <v>21240</v>
      </c>
    </row>
    <row r="336" spans="1:15" x14ac:dyDescent="0.3">
      <c r="A336" s="67" t="s">
        <v>430</v>
      </c>
      <c r="B336" s="70">
        <v>45385</v>
      </c>
      <c r="C336" s="67">
        <f t="shared" si="25"/>
        <v>2024</v>
      </c>
      <c r="D336" s="67" t="str">
        <f t="shared" si="26"/>
        <v>04 Apr</v>
      </c>
      <c r="E336" s="67" t="s">
        <v>39</v>
      </c>
      <c r="F336" s="67" t="s">
        <v>70</v>
      </c>
      <c r="G336" s="67" t="s">
        <v>41</v>
      </c>
      <c r="H336" s="67" t="s">
        <v>107</v>
      </c>
      <c r="I336" s="71">
        <v>2</v>
      </c>
      <c r="J336" s="72">
        <v>6610</v>
      </c>
      <c r="K336" s="73">
        <v>0</v>
      </c>
      <c r="L336" s="72">
        <v>4200</v>
      </c>
      <c r="M336" s="68">
        <f t="shared" si="27"/>
        <v>13220</v>
      </c>
      <c r="N336" s="68">
        <f t="shared" si="28"/>
        <v>8400</v>
      </c>
      <c r="O336" s="68">
        <f t="shared" si="29"/>
        <v>4820</v>
      </c>
    </row>
    <row r="337" spans="1:15" x14ac:dyDescent="0.3">
      <c r="A337" s="67" t="s">
        <v>431</v>
      </c>
      <c r="B337" s="70">
        <v>45387</v>
      </c>
      <c r="C337" s="67">
        <f t="shared" si="25"/>
        <v>2024</v>
      </c>
      <c r="D337" s="67" t="str">
        <f t="shared" si="26"/>
        <v>04 Apr</v>
      </c>
      <c r="E337" s="67" t="s">
        <v>45</v>
      </c>
      <c r="F337" s="67" t="s">
        <v>70</v>
      </c>
      <c r="G337" s="67" t="s">
        <v>58</v>
      </c>
      <c r="H337" s="67" t="s">
        <v>93</v>
      </c>
      <c r="I337" s="71">
        <v>2</v>
      </c>
      <c r="J337" s="72">
        <v>8680</v>
      </c>
      <c r="K337" s="73">
        <v>0.05</v>
      </c>
      <c r="L337" s="72">
        <v>6000</v>
      </c>
      <c r="M337" s="68">
        <f t="shared" si="27"/>
        <v>16492</v>
      </c>
      <c r="N337" s="68">
        <f t="shared" si="28"/>
        <v>12000</v>
      </c>
      <c r="O337" s="68">
        <f t="shared" si="29"/>
        <v>4492</v>
      </c>
    </row>
    <row r="338" spans="1:15" x14ac:dyDescent="0.3">
      <c r="A338" s="67" t="s">
        <v>432</v>
      </c>
      <c r="B338" s="70">
        <v>45392</v>
      </c>
      <c r="C338" s="67">
        <f t="shared" si="25"/>
        <v>2024</v>
      </c>
      <c r="D338" s="67" t="str">
        <f t="shared" si="26"/>
        <v>04 Apr</v>
      </c>
      <c r="E338" s="67" t="s">
        <v>48</v>
      </c>
      <c r="F338" s="67" t="s">
        <v>69</v>
      </c>
      <c r="G338" s="67" t="s">
        <v>50</v>
      </c>
      <c r="H338" s="67" t="s">
        <v>98</v>
      </c>
      <c r="I338" s="71">
        <v>1</v>
      </c>
      <c r="J338" s="72">
        <v>54690</v>
      </c>
      <c r="K338" s="73">
        <v>0.1</v>
      </c>
      <c r="L338" s="72">
        <v>42000</v>
      </c>
      <c r="M338" s="68">
        <f t="shared" si="27"/>
        <v>49221</v>
      </c>
      <c r="N338" s="68">
        <f t="shared" si="28"/>
        <v>42000</v>
      </c>
      <c r="O338" s="68">
        <f t="shared" si="29"/>
        <v>7221</v>
      </c>
    </row>
    <row r="339" spans="1:15" x14ac:dyDescent="0.3">
      <c r="A339" s="67" t="s">
        <v>433</v>
      </c>
      <c r="B339" s="70">
        <v>45394</v>
      </c>
      <c r="C339" s="67">
        <f t="shared" si="25"/>
        <v>2024</v>
      </c>
      <c r="D339" s="67" t="str">
        <f t="shared" si="26"/>
        <v>04 Apr</v>
      </c>
      <c r="E339" s="67" t="s">
        <v>45</v>
      </c>
      <c r="F339" s="67" t="s">
        <v>71</v>
      </c>
      <c r="G339" s="67" t="s">
        <v>47</v>
      </c>
      <c r="H339" s="67" t="s">
        <v>93</v>
      </c>
      <c r="I339" s="71">
        <v>24</v>
      </c>
      <c r="J339" s="72">
        <v>310</v>
      </c>
      <c r="K339" s="73">
        <v>0.05</v>
      </c>
      <c r="L339" s="72">
        <v>160</v>
      </c>
      <c r="M339" s="68">
        <f t="shared" si="27"/>
        <v>7068</v>
      </c>
      <c r="N339" s="68">
        <f t="shared" si="28"/>
        <v>3840</v>
      </c>
      <c r="O339" s="68">
        <f t="shared" si="29"/>
        <v>3228</v>
      </c>
    </row>
    <row r="340" spans="1:15" x14ac:dyDescent="0.3">
      <c r="A340" s="67" t="s">
        <v>434</v>
      </c>
      <c r="B340" s="70">
        <v>45395</v>
      </c>
      <c r="C340" s="67">
        <f t="shared" si="25"/>
        <v>2024</v>
      </c>
      <c r="D340" s="67" t="str">
        <f t="shared" si="26"/>
        <v>04 Apr</v>
      </c>
      <c r="E340" s="67" t="s">
        <v>42</v>
      </c>
      <c r="F340" s="67" t="s">
        <v>71</v>
      </c>
      <c r="G340" s="67" t="s">
        <v>47</v>
      </c>
      <c r="H340" s="67" t="s">
        <v>112</v>
      </c>
      <c r="I340" s="71">
        <v>44</v>
      </c>
      <c r="J340" s="72">
        <v>300</v>
      </c>
      <c r="K340" s="73">
        <v>0.15</v>
      </c>
      <c r="L340" s="72">
        <v>160</v>
      </c>
      <c r="M340" s="68">
        <f t="shared" si="27"/>
        <v>11220</v>
      </c>
      <c r="N340" s="68">
        <f t="shared" si="28"/>
        <v>7040</v>
      </c>
      <c r="O340" s="68">
        <f t="shared" si="29"/>
        <v>4180</v>
      </c>
    </row>
    <row r="341" spans="1:15" x14ac:dyDescent="0.3">
      <c r="A341" s="67" t="s">
        <v>435</v>
      </c>
      <c r="B341" s="70">
        <v>45395</v>
      </c>
      <c r="C341" s="67">
        <f t="shared" si="25"/>
        <v>2024</v>
      </c>
      <c r="D341" s="67" t="str">
        <f t="shared" si="26"/>
        <v>04 Apr</v>
      </c>
      <c r="E341" s="67" t="s">
        <v>48</v>
      </c>
      <c r="F341" s="67" t="s">
        <v>71</v>
      </c>
      <c r="G341" s="67" t="s">
        <v>55</v>
      </c>
      <c r="H341" s="67" t="s">
        <v>98</v>
      </c>
      <c r="I341" s="71">
        <v>16</v>
      </c>
      <c r="J341" s="72">
        <v>460</v>
      </c>
      <c r="K341" s="73">
        <v>0.15</v>
      </c>
      <c r="L341" s="72">
        <v>250</v>
      </c>
      <c r="M341" s="68">
        <f t="shared" si="27"/>
        <v>6256</v>
      </c>
      <c r="N341" s="68">
        <f t="shared" si="28"/>
        <v>4000</v>
      </c>
      <c r="O341" s="68">
        <f t="shared" si="29"/>
        <v>2256</v>
      </c>
    </row>
    <row r="342" spans="1:15" x14ac:dyDescent="0.3">
      <c r="A342" s="67" t="s">
        <v>436</v>
      </c>
      <c r="B342" s="70">
        <v>45395</v>
      </c>
      <c r="C342" s="67">
        <f t="shared" si="25"/>
        <v>2024</v>
      </c>
      <c r="D342" s="67" t="str">
        <f t="shared" si="26"/>
        <v>04 Apr</v>
      </c>
      <c r="E342" s="67" t="s">
        <v>36</v>
      </c>
      <c r="F342" s="67" t="s">
        <v>69</v>
      </c>
      <c r="G342" s="67" t="s">
        <v>68</v>
      </c>
      <c r="H342" s="67" t="s">
        <v>114</v>
      </c>
      <c r="I342" s="71">
        <v>2</v>
      </c>
      <c r="J342" s="72">
        <v>3590</v>
      </c>
      <c r="K342" s="73">
        <v>0.15</v>
      </c>
      <c r="L342" s="72">
        <v>2000</v>
      </c>
      <c r="M342" s="68">
        <f t="shared" si="27"/>
        <v>6103</v>
      </c>
      <c r="N342" s="68">
        <f t="shared" si="28"/>
        <v>4000</v>
      </c>
      <c r="O342" s="68">
        <f t="shared" si="29"/>
        <v>2103</v>
      </c>
    </row>
    <row r="343" spans="1:15" x14ac:dyDescent="0.3">
      <c r="A343" s="67" t="s">
        <v>437</v>
      </c>
      <c r="B343" s="70">
        <v>45396</v>
      </c>
      <c r="C343" s="67">
        <f t="shared" si="25"/>
        <v>2024</v>
      </c>
      <c r="D343" s="67" t="str">
        <f t="shared" si="26"/>
        <v>04 Apr</v>
      </c>
      <c r="E343" s="67" t="s">
        <v>36</v>
      </c>
      <c r="F343" s="67" t="s">
        <v>71</v>
      </c>
      <c r="G343" s="67" t="s">
        <v>47</v>
      </c>
      <c r="H343" s="67" t="s">
        <v>114</v>
      </c>
      <c r="I343" s="71">
        <v>7</v>
      </c>
      <c r="J343" s="72">
        <v>290</v>
      </c>
      <c r="K343" s="73">
        <v>0.1</v>
      </c>
      <c r="L343" s="72">
        <v>160</v>
      </c>
      <c r="M343" s="68">
        <f t="shared" si="27"/>
        <v>1827</v>
      </c>
      <c r="N343" s="68">
        <f t="shared" si="28"/>
        <v>1120</v>
      </c>
      <c r="O343" s="68">
        <f t="shared" si="29"/>
        <v>707</v>
      </c>
    </row>
    <row r="344" spans="1:15" x14ac:dyDescent="0.3">
      <c r="A344" s="67" t="s">
        <v>438</v>
      </c>
      <c r="B344" s="70">
        <v>45396</v>
      </c>
      <c r="C344" s="67">
        <f t="shared" si="25"/>
        <v>2024</v>
      </c>
      <c r="D344" s="67" t="str">
        <f t="shared" si="26"/>
        <v>04 Apr</v>
      </c>
      <c r="E344" s="67" t="s">
        <v>45</v>
      </c>
      <c r="F344" s="67" t="s">
        <v>71</v>
      </c>
      <c r="G344" s="67" t="s">
        <v>47</v>
      </c>
      <c r="H344" s="67" t="s">
        <v>87</v>
      </c>
      <c r="I344" s="71">
        <v>20</v>
      </c>
      <c r="J344" s="72">
        <v>300</v>
      </c>
      <c r="K344" s="73">
        <v>0.05</v>
      </c>
      <c r="L344" s="72">
        <v>160</v>
      </c>
      <c r="M344" s="68">
        <f t="shared" si="27"/>
        <v>5700</v>
      </c>
      <c r="N344" s="68">
        <f t="shared" si="28"/>
        <v>3200</v>
      </c>
      <c r="O344" s="68">
        <f t="shared" si="29"/>
        <v>2500</v>
      </c>
    </row>
    <row r="345" spans="1:15" x14ac:dyDescent="0.3">
      <c r="A345" s="67" t="s">
        <v>439</v>
      </c>
      <c r="B345" s="70">
        <v>45400</v>
      </c>
      <c r="C345" s="67">
        <f t="shared" si="25"/>
        <v>2024</v>
      </c>
      <c r="D345" s="67" t="str">
        <f t="shared" si="26"/>
        <v>04 Apr</v>
      </c>
      <c r="E345" s="67" t="s">
        <v>48</v>
      </c>
      <c r="F345" s="67" t="s">
        <v>66</v>
      </c>
      <c r="G345" s="67" t="s">
        <v>53</v>
      </c>
      <c r="H345" s="67" t="s">
        <v>98</v>
      </c>
      <c r="I345" s="71">
        <v>3</v>
      </c>
      <c r="J345" s="72">
        <v>11240</v>
      </c>
      <c r="K345" s="73">
        <v>0.1</v>
      </c>
      <c r="L345" s="72">
        <v>8000</v>
      </c>
      <c r="M345" s="68">
        <f t="shared" si="27"/>
        <v>30348</v>
      </c>
      <c r="N345" s="68">
        <f t="shared" si="28"/>
        <v>24000</v>
      </c>
      <c r="O345" s="68">
        <f t="shared" si="29"/>
        <v>6348</v>
      </c>
    </row>
    <row r="346" spans="1:15" x14ac:dyDescent="0.3">
      <c r="A346" s="67" t="s">
        <v>440</v>
      </c>
      <c r="B346" s="70">
        <v>45403</v>
      </c>
      <c r="C346" s="67">
        <f t="shared" si="25"/>
        <v>2024</v>
      </c>
      <c r="D346" s="67" t="str">
        <f t="shared" si="26"/>
        <v>04 Apr</v>
      </c>
      <c r="E346" s="67" t="s">
        <v>48</v>
      </c>
      <c r="F346" s="67" t="s">
        <v>66</v>
      </c>
      <c r="G346" s="67" t="s">
        <v>53</v>
      </c>
      <c r="H346" s="67" t="s">
        <v>98</v>
      </c>
      <c r="I346" s="71">
        <v>2</v>
      </c>
      <c r="J346" s="72">
        <v>11520</v>
      </c>
      <c r="K346" s="73">
        <v>0</v>
      </c>
      <c r="L346" s="72">
        <v>8000</v>
      </c>
      <c r="M346" s="68">
        <f t="shared" si="27"/>
        <v>23040</v>
      </c>
      <c r="N346" s="68">
        <f t="shared" si="28"/>
        <v>16000</v>
      </c>
      <c r="O346" s="68">
        <f t="shared" si="29"/>
        <v>7040</v>
      </c>
    </row>
    <row r="347" spans="1:15" x14ac:dyDescent="0.3">
      <c r="A347" s="67" t="s">
        <v>441</v>
      </c>
      <c r="B347" s="70">
        <v>45407</v>
      </c>
      <c r="C347" s="67">
        <f t="shared" si="25"/>
        <v>2024</v>
      </c>
      <c r="D347" s="67" t="str">
        <f t="shared" si="26"/>
        <v>04 Apr</v>
      </c>
      <c r="E347" s="67" t="s">
        <v>45</v>
      </c>
      <c r="F347" s="67" t="s">
        <v>69</v>
      </c>
      <c r="G347" s="67" t="s">
        <v>50</v>
      </c>
      <c r="H347" s="67" t="s">
        <v>87</v>
      </c>
      <c r="I347" s="71">
        <v>2</v>
      </c>
      <c r="J347" s="72">
        <v>52480</v>
      </c>
      <c r="K347" s="73">
        <v>0.15</v>
      </c>
      <c r="L347" s="72">
        <v>42000</v>
      </c>
      <c r="M347" s="68">
        <f t="shared" si="27"/>
        <v>89216</v>
      </c>
      <c r="N347" s="68">
        <f t="shared" si="28"/>
        <v>84000</v>
      </c>
      <c r="O347" s="68">
        <f t="shared" si="29"/>
        <v>5216</v>
      </c>
    </row>
    <row r="348" spans="1:15" x14ac:dyDescent="0.3">
      <c r="A348" s="67" t="s">
        <v>442</v>
      </c>
      <c r="B348" s="70">
        <v>45409</v>
      </c>
      <c r="C348" s="67">
        <f t="shared" si="25"/>
        <v>2024</v>
      </c>
      <c r="D348" s="67" t="str">
        <f t="shared" si="26"/>
        <v>04 Apr</v>
      </c>
      <c r="E348" s="67" t="s">
        <v>45</v>
      </c>
      <c r="F348" s="67" t="s">
        <v>66</v>
      </c>
      <c r="G348" s="67" t="s">
        <v>65</v>
      </c>
      <c r="H348" s="67" t="s">
        <v>87</v>
      </c>
      <c r="I348" s="71">
        <v>1</v>
      </c>
      <c r="J348" s="72">
        <v>14000</v>
      </c>
      <c r="K348" s="73">
        <v>0.1</v>
      </c>
      <c r="L348" s="72">
        <v>9000</v>
      </c>
      <c r="M348" s="68">
        <f t="shared" si="27"/>
        <v>12600</v>
      </c>
      <c r="N348" s="68">
        <f t="shared" si="28"/>
        <v>9000</v>
      </c>
      <c r="O348" s="68">
        <f t="shared" si="29"/>
        <v>3600</v>
      </c>
    </row>
    <row r="349" spans="1:15" x14ac:dyDescent="0.3">
      <c r="A349" s="67" t="s">
        <v>443</v>
      </c>
      <c r="B349" s="70">
        <v>45413</v>
      </c>
      <c r="C349" s="67">
        <f t="shared" si="25"/>
        <v>2024</v>
      </c>
      <c r="D349" s="67" t="str">
        <f t="shared" si="26"/>
        <v>05 May</v>
      </c>
      <c r="E349" s="67" t="s">
        <v>42</v>
      </c>
      <c r="F349" s="67" t="s">
        <v>71</v>
      </c>
      <c r="G349" s="67" t="s">
        <v>44</v>
      </c>
      <c r="H349" s="67" t="s">
        <v>112</v>
      </c>
      <c r="I349" s="71">
        <v>3</v>
      </c>
      <c r="J349" s="72">
        <v>730</v>
      </c>
      <c r="K349" s="73">
        <v>0.05</v>
      </c>
      <c r="L349" s="72">
        <v>380</v>
      </c>
      <c r="M349" s="68">
        <f t="shared" si="27"/>
        <v>2080.5</v>
      </c>
      <c r="N349" s="68">
        <f t="shared" si="28"/>
        <v>1140</v>
      </c>
      <c r="O349" s="68">
        <f t="shared" si="29"/>
        <v>940.5</v>
      </c>
    </row>
    <row r="350" spans="1:15" x14ac:dyDescent="0.3">
      <c r="A350" s="67" t="s">
        <v>444</v>
      </c>
      <c r="B350" s="70">
        <v>45413</v>
      </c>
      <c r="C350" s="67">
        <f t="shared" si="25"/>
        <v>2024</v>
      </c>
      <c r="D350" s="67" t="str">
        <f t="shared" si="26"/>
        <v>05 May</v>
      </c>
      <c r="E350" s="67" t="s">
        <v>48</v>
      </c>
      <c r="F350" s="67" t="s">
        <v>66</v>
      </c>
      <c r="G350" s="67" t="s">
        <v>53</v>
      </c>
      <c r="H350" s="67" t="s">
        <v>95</v>
      </c>
      <c r="I350" s="71">
        <v>1</v>
      </c>
      <c r="J350" s="72">
        <v>11230</v>
      </c>
      <c r="K350" s="73">
        <v>0.05</v>
      </c>
      <c r="L350" s="72">
        <v>8000</v>
      </c>
      <c r="M350" s="68">
        <f t="shared" si="27"/>
        <v>10668.5</v>
      </c>
      <c r="N350" s="68">
        <f t="shared" si="28"/>
        <v>8000</v>
      </c>
      <c r="O350" s="68">
        <f t="shared" si="29"/>
        <v>2668.5</v>
      </c>
    </row>
    <row r="351" spans="1:15" x14ac:dyDescent="0.3">
      <c r="A351" s="67" t="s">
        <v>445</v>
      </c>
      <c r="B351" s="70">
        <v>45416</v>
      </c>
      <c r="C351" s="67">
        <f t="shared" si="25"/>
        <v>2024</v>
      </c>
      <c r="D351" s="67" t="str">
        <f t="shared" si="26"/>
        <v>05 May</v>
      </c>
      <c r="E351" s="67" t="s">
        <v>42</v>
      </c>
      <c r="F351" s="67" t="s">
        <v>70</v>
      </c>
      <c r="G351" s="67" t="s">
        <v>41</v>
      </c>
      <c r="H351" s="67" t="s">
        <v>112</v>
      </c>
      <c r="I351" s="71">
        <v>3</v>
      </c>
      <c r="J351" s="72">
        <v>6280</v>
      </c>
      <c r="K351" s="73">
        <v>0</v>
      </c>
      <c r="L351" s="72">
        <v>4200</v>
      </c>
      <c r="M351" s="68">
        <f t="shared" si="27"/>
        <v>18840</v>
      </c>
      <c r="N351" s="68">
        <f t="shared" si="28"/>
        <v>12600</v>
      </c>
      <c r="O351" s="68">
        <f t="shared" si="29"/>
        <v>6240</v>
      </c>
    </row>
    <row r="352" spans="1:15" x14ac:dyDescent="0.3">
      <c r="A352" s="67" t="s">
        <v>446</v>
      </c>
      <c r="B352" s="70">
        <v>45417</v>
      </c>
      <c r="C352" s="67">
        <f t="shared" si="25"/>
        <v>2024</v>
      </c>
      <c r="D352" s="67" t="str">
        <f t="shared" si="26"/>
        <v>05 May</v>
      </c>
      <c r="E352" s="67" t="s">
        <v>39</v>
      </c>
      <c r="F352" s="67" t="s">
        <v>69</v>
      </c>
      <c r="G352" s="67" t="s">
        <v>60</v>
      </c>
      <c r="H352" s="67" t="s">
        <v>107</v>
      </c>
      <c r="I352" s="71">
        <v>3</v>
      </c>
      <c r="J352" s="72">
        <v>23920</v>
      </c>
      <c r="K352" s="73">
        <v>0.05</v>
      </c>
      <c r="L352" s="72">
        <v>18000</v>
      </c>
      <c r="M352" s="68">
        <f t="shared" si="27"/>
        <v>68172</v>
      </c>
      <c r="N352" s="68">
        <f t="shared" si="28"/>
        <v>54000</v>
      </c>
      <c r="O352" s="68">
        <f t="shared" si="29"/>
        <v>14172</v>
      </c>
    </row>
    <row r="353" spans="1:15" x14ac:dyDescent="0.3">
      <c r="A353" s="67" t="s">
        <v>447</v>
      </c>
      <c r="B353" s="70">
        <v>45417</v>
      </c>
      <c r="C353" s="67">
        <f t="shared" si="25"/>
        <v>2024</v>
      </c>
      <c r="D353" s="67" t="str">
        <f t="shared" si="26"/>
        <v>05 May</v>
      </c>
      <c r="E353" s="67" t="s">
        <v>45</v>
      </c>
      <c r="F353" s="67" t="s">
        <v>69</v>
      </c>
      <c r="G353" s="67" t="s">
        <v>50</v>
      </c>
      <c r="H353" s="67" t="s">
        <v>87</v>
      </c>
      <c r="I353" s="71">
        <v>2</v>
      </c>
      <c r="J353" s="72">
        <v>55660</v>
      </c>
      <c r="K353" s="73">
        <v>0</v>
      </c>
      <c r="L353" s="72">
        <v>42000</v>
      </c>
      <c r="M353" s="68">
        <f t="shared" si="27"/>
        <v>111320</v>
      </c>
      <c r="N353" s="68">
        <f t="shared" si="28"/>
        <v>84000</v>
      </c>
      <c r="O353" s="68">
        <f t="shared" si="29"/>
        <v>27320</v>
      </c>
    </row>
    <row r="354" spans="1:15" x14ac:dyDescent="0.3">
      <c r="A354" s="67" t="s">
        <v>448</v>
      </c>
      <c r="B354" s="70">
        <v>45419</v>
      </c>
      <c r="C354" s="67">
        <f t="shared" si="25"/>
        <v>2024</v>
      </c>
      <c r="D354" s="67" t="str">
        <f t="shared" si="26"/>
        <v>05 May</v>
      </c>
      <c r="E354" s="67" t="s">
        <v>48</v>
      </c>
      <c r="F354" s="67" t="s">
        <v>66</v>
      </c>
      <c r="G354" s="67" t="s">
        <v>38</v>
      </c>
      <c r="H354" s="67" t="s">
        <v>98</v>
      </c>
      <c r="I354" s="71">
        <v>2</v>
      </c>
      <c r="J354" s="72">
        <v>14290</v>
      </c>
      <c r="K354" s="73">
        <v>0</v>
      </c>
      <c r="L354" s="72">
        <v>9500</v>
      </c>
      <c r="M354" s="68">
        <f t="shared" si="27"/>
        <v>28580</v>
      </c>
      <c r="N354" s="68">
        <f t="shared" si="28"/>
        <v>19000</v>
      </c>
      <c r="O354" s="68">
        <f t="shared" si="29"/>
        <v>9580</v>
      </c>
    </row>
    <row r="355" spans="1:15" x14ac:dyDescent="0.3">
      <c r="A355" s="67" t="s">
        <v>449</v>
      </c>
      <c r="B355" s="70">
        <v>45420</v>
      </c>
      <c r="C355" s="67">
        <f t="shared" si="25"/>
        <v>2024</v>
      </c>
      <c r="D355" s="67" t="str">
        <f t="shared" si="26"/>
        <v>05 May</v>
      </c>
      <c r="E355" s="67" t="s">
        <v>45</v>
      </c>
      <c r="F355" s="67" t="s">
        <v>69</v>
      </c>
      <c r="G355" s="67" t="s">
        <v>68</v>
      </c>
      <c r="H355" s="67" t="s">
        <v>87</v>
      </c>
      <c r="I355" s="71">
        <v>5</v>
      </c>
      <c r="J355" s="72">
        <v>3460</v>
      </c>
      <c r="K355" s="73">
        <v>0</v>
      </c>
      <c r="L355" s="72">
        <v>2000</v>
      </c>
      <c r="M355" s="68">
        <f t="shared" si="27"/>
        <v>17300</v>
      </c>
      <c r="N355" s="68">
        <f t="shared" si="28"/>
        <v>10000</v>
      </c>
      <c r="O355" s="68">
        <f t="shared" si="29"/>
        <v>7300</v>
      </c>
    </row>
    <row r="356" spans="1:15" x14ac:dyDescent="0.3">
      <c r="A356" s="67" t="s">
        <v>450</v>
      </c>
      <c r="B356" s="70">
        <v>45421</v>
      </c>
      <c r="C356" s="67">
        <f t="shared" si="25"/>
        <v>2024</v>
      </c>
      <c r="D356" s="67" t="str">
        <f t="shared" si="26"/>
        <v>05 May</v>
      </c>
      <c r="E356" s="67" t="s">
        <v>45</v>
      </c>
      <c r="F356" s="67" t="s">
        <v>66</v>
      </c>
      <c r="G356" s="67" t="s">
        <v>38</v>
      </c>
      <c r="H356" s="67" t="s">
        <v>93</v>
      </c>
      <c r="I356" s="71">
        <v>2</v>
      </c>
      <c r="J356" s="72">
        <v>14660</v>
      </c>
      <c r="K356" s="73">
        <v>0</v>
      </c>
      <c r="L356" s="72">
        <v>9500</v>
      </c>
      <c r="M356" s="68">
        <f t="shared" si="27"/>
        <v>29320</v>
      </c>
      <c r="N356" s="68">
        <f t="shared" si="28"/>
        <v>19000</v>
      </c>
      <c r="O356" s="68">
        <f t="shared" si="29"/>
        <v>10320</v>
      </c>
    </row>
    <row r="357" spans="1:15" x14ac:dyDescent="0.3">
      <c r="A357" s="67" t="s">
        <v>451</v>
      </c>
      <c r="B357" s="70">
        <v>45421</v>
      </c>
      <c r="C357" s="67">
        <f t="shared" si="25"/>
        <v>2024</v>
      </c>
      <c r="D357" s="67" t="str">
        <f t="shared" si="26"/>
        <v>05 May</v>
      </c>
      <c r="E357" s="67" t="s">
        <v>42</v>
      </c>
      <c r="F357" s="67" t="s">
        <v>66</v>
      </c>
      <c r="G357" s="67" t="s">
        <v>53</v>
      </c>
      <c r="H357" s="67" t="s">
        <v>89</v>
      </c>
      <c r="I357" s="71">
        <v>1</v>
      </c>
      <c r="J357" s="72">
        <v>10690</v>
      </c>
      <c r="K357" s="73">
        <v>0.1</v>
      </c>
      <c r="L357" s="72">
        <v>8000</v>
      </c>
      <c r="M357" s="68">
        <f t="shared" si="27"/>
        <v>9621</v>
      </c>
      <c r="N357" s="68">
        <f t="shared" si="28"/>
        <v>8000</v>
      </c>
      <c r="O357" s="68">
        <f t="shared" si="29"/>
        <v>1621</v>
      </c>
    </row>
    <row r="358" spans="1:15" x14ac:dyDescent="0.3">
      <c r="A358" s="67" t="s">
        <v>452</v>
      </c>
      <c r="B358" s="70">
        <v>45422</v>
      </c>
      <c r="C358" s="67">
        <f t="shared" si="25"/>
        <v>2024</v>
      </c>
      <c r="D358" s="67" t="str">
        <f t="shared" si="26"/>
        <v>05 May</v>
      </c>
      <c r="E358" s="67" t="s">
        <v>45</v>
      </c>
      <c r="F358" s="67" t="s">
        <v>71</v>
      </c>
      <c r="G358" s="67" t="s">
        <v>44</v>
      </c>
      <c r="H358" s="67" t="s">
        <v>87</v>
      </c>
      <c r="I358" s="71">
        <v>4</v>
      </c>
      <c r="J358" s="72">
        <v>730</v>
      </c>
      <c r="K358" s="73">
        <v>0.05</v>
      </c>
      <c r="L358" s="72">
        <v>380</v>
      </c>
      <c r="M358" s="68">
        <f t="shared" si="27"/>
        <v>2774</v>
      </c>
      <c r="N358" s="68">
        <f t="shared" si="28"/>
        <v>1520</v>
      </c>
      <c r="O358" s="68">
        <f t="shared" si="29"/>
        <v>1254</v>
      </c>
    </row>
    <row r="359" spans="1:15" x14ac:dyDescent="0.3">
      <c r="A359" s="67" t="s">
        <v>453</v>
      </c>
      <c r="B359" s="70">
        <v>45422</v>
      </c>
      <c r="C359" s="67">
        <f t="shared" si="25"/>
        <v>2024</v>
      </c>
      <c r="D359" s="67" t="str">
        <f t="shared" si="26"/>
        <v>05 May</v>
      </c>
      <c r="E359" s="67" t="s">
        <v>42</v>
      </c>
      <c r="F359" s="67" t="s">
        <v>71</v>
      </c>
      <c r="G359" s="67" t="s">
        <v>47</v>
      </c>
      <c r="H359" s="67" t="s">
        <v>89</v>
      </c>
      <c r="I359" s="71">
        <v>5</v>
      </c>
      <c r="J359" s="72">
        <v>290</v>
      </c>
      <c r="K359" s="73">
        <v>0</v>
      </c>
      <c r="L359" s="72">
        <v>160</v>
      </c>
      <c r="M359" s="68">
        <f t="shared" si="27"/>
        <v>1450</v>
      </c>
      <c r="N359" s="68">
        <f t="shared" si="28"/>
        <v>800</v>
      </c>
      <c r="O359" s="68">
        <f t="shared" si="29"/>
        <v>650</v>
      </c>
    </row>
    <row r="360" spans="1:15" x14ac:dyDescent="0.3">
      <c r="A360" s="67" t="s">
        <v>454</v>
      </c>
      <c r="B360" s="70">
        <v>45422</v>
      </c>
      <c r="C360" s="67">
        <f t="shared" si="25"/>
        <v>2024</v>
      </c>
      <c r="D360" s="67" t="str">
        <f t="shared" si="26"/>
        <v>05 May</v>
      </c>
      <c r="E360" s="67" t="s">
        <v>42</v>
      </c>
      <c r="F360" s="67" t="s">
        <v>70</v>
      </c>
      <c r="G360" s="67" t="s">
        <v>58</v>
      </c>
      <c r="H360" s="67" t="s">
        <v>89</v>
      </c>
      <c r="I360" s="71">
        <v>4</v>
      </c>
      <c r="J360" s="72">
        <v>9050</v>
      </c>
      <c r="K360" s="73">
        <v>0.05</v>
      </c>
      <c r="L360" s="72">
        <v>6000</v>
      </c>
      <c r="M360" s="68">
        <f t="shared" si="27"/>
        <v>34390</v>
      </c>
      <c r="N360" s="68">
        <f t="shared" si="28"/>
        <v>24000</v>
      </c>
      <c r="O360" s="68">
        <f t="shared" si="29"/>
        <v>10390</v>
      </c>
    </row>
    <row r="361" spans="1:15" x14ac:dyDescent="0.3">
      <c r="A361" s="67" t="s">
        <v>455</v>
      </c>
      <c r="B361" s="70">
        <v>45424</v>
      </c>
      <c r="C361" s="67">
        <f t="shared" si="25"/>
        <v>2024</v>
      </c>
      <c r="D361" s="67" t="str">
        <f t="shared" si="26"/>
        <v>05 May</v>
      </c>
      <c r="E361" s="67" t="s">
        <v>48</v>
      </c>
      <c r="F361" s="67" t="s">
        <v>66</v>
      </c>
      <c r="G361" s="67" t="s">
        <v>38</v>
      </c>
      <c r="H361" s="67" t="s">
        <v>95</v>
      </c>
      <c r="I361" s="71">
        <v>1</v>
      </c>
      <c r="J361" s="72">
        <v>14280</v>
      </c>
      <c r="K361" s="73">
        <v>0</v>
      </c>
      <c r="L361" s="72">
        <v>9500</v>
      </c>
      <c r="M361" s="68">
        <f t="shared" si="27"/>
        <v>14280</v>
      </c>
      <c r="N361" s="68">
        <f t="shared" si="28"/>
        <v>9500</v>
      </c>
      <c r="O361" s="68">
        <f t="shared" si="29"/>
        <v>4780</v>
      </c>
    </row>
    <row r="362" spans="1:15" x14ac:dyDescent="0.3">
      <c r="A362" s="67" t="s">
        <v>456</v>
      </c>
      <c r="B362" s="70">
        <v>45425</v>
      </c>
      <c r="C362" s="67">
        <f t="shared" si="25"/>
        <v>2024</v>
      </c>
      <c r="D362" s="67" t="str">
        <f t="shared" si="26"/>
        <v>05 May</v>
      </c>
      <c r="E362" s="67" t="s">
        <v>36</v>
      </c>
      <c r="F362" s="67" t="s">
        <v>71</v>
      </c>
      <c r="G362" s="67" t="s">
        <v>55</v>
      </c>
      <c r="H362" s="67" t="s">
        <v>114</v>
      </c>
      <c r="I362" s="71">
        <v>21</v>
      </c>
      <c r="J362" s="72">
        <v>430</v>
      </c>
      <c r="K362" s="73">
        <v>0.1</v>
      </c>
      <c r="L362" s="72">
        <v>250</v>
      </c>
      <c r="M362" s="68">
        <f t="shared" si="27"/>
        <v>8127</v>
      </c>
      <c r="N362" s="68">
        <f t="shared" si="28"/>
        <v>5250</v>
      </c>
      <c r="O362" s="68">
        <f t="shared" si="29"/>
        <v>2877</v>
      </c>
    </row>
    <row r="363" spans="1:15" x14ac:dyDescent="0.3">
      <c r="A363" s="67" t="s">
        <v>457</v>
      </c>
      <c r="B363" s="70">
        <v>45426</v>
      </c>
      <c r="C363" s="67">
        <f t="shared" si="25"/>
        <v>2024</v>
      </c>
      <c r="D363" s="67" t="str">
        <f t="shared" si="26"/>
        <v>05 May</v>
      </c>
      <c r="E363" s="67" t="s">
        <v>48</v>
      </c>
      <c r="F363" s="67" t="s">
        <v>69</v>
      </c>
      <c r="G363" s="67" t="s">
        <v>68</v>
      </c>
      <c r="H363" s="67" t="s">
        <v>98</v>
      </c>
      <c r="I363" s="71">
        <v>4</v>
      </c>
      <c r="J363" s="72">
        <v>3440</v>
      </c>
      <c r="K363" s="73">
        <v>0.15</v>
      </c>
      <c r="L363" s="72">
        <v>2000</v>
      </c>
      <c r="M363" s="68">
        <f t="shared" si="27"/>
        <v>11696</v>
      </c>
      <c r="N363" s="68">
        <f t="shared" si="28"/>
        <v>8000</v>
      </c>
      <c r="O363" s="68">
        <f t="shared" si="29"/>
        <v>3696</v>
      </c>
    </row>
    <row r="364" spans="1:15" x14ac:dyDescent="0.3">
      <c r="A364" s="67" t="s">
        <v>458</v>
      </c>
      <c r="B364" s="70">
        <v>45429</v>
      </c>
      <c r="C364" s="67">
        <f t="shared" si="25"/>
        <v>2024</v>
      </c>
      <c r="D364" s="67" t="str">
        <f t="shared" si="26"/>
        <v>05 May</v>
      </c>
      <c r="E364" s="67" t="s">
        <v>39</v>
      </c>
      <c r="F364" s="67" t="s">
        <v>70</v>
      </c>
      <c r="G364" s="67" t="s">
        <v>62</v>
      </c>
      <c r="H364" s="67" t="s">
        <v>100</v>
      </c>
      <c r="I364" s="71">
        <v>3</v>
      </c>
      <c r="J364" s="72">
        <v>18630</v>
      </c>
      <c r="K364" s="73">
        <v>0.05</v>
      </c>
      <c r="L364" s="72">
        <v>12500</v>
      </c>
      <c r="M364" s="68">
        <f t="shared" si="27"/>
        <v>53095.5</v>
      </c>
      <c r="N364" s="68">
        <f t="shared" si="28"/>
        <v>37500</v>
      </c>
      <c r="O364" s="68">
        <f t="shared" si="29"/>
        <v>15595.5</v>
      </c>
    </row>
    <row r="365" spans="1:15" x14ac:dyDescent="0.3">
      <c r="A365" s="67" t="s">
        <v>459</v>
      </c>
      <c r="B365" s="70">
        <v>45429</v>
      </c>
      <c r="C365" s="67">
        <f t="shared" si="25"/>
        <v>2024</v>
      </c>
      <c r="D365" s="67" t="str">
        <f t="shared" si="26"/>
        <v>05 May</v>
      </c>
      <c r="E365" s="67" t="s">
        <v>36</v>
      </c>
      <c r="F365" s="67" t="s">
        <v>71</v>
      </c>
      <c r="G365" s="67" t="s">
        <v>44</v>
      </c>
      <c r="H365" s="67" t="s">
        <v>91</v>
      </c>
      <c r="I365" s="71">
        <v>3</v>
      </c>
      <c r="J365" s="72">
        <v>730</v>
      </c>
      <c r="K365" s="73">
        <v>0.05</v>
      </c>
      <c r="L365" s="72">
        <v>380</v>
      </c>
      <c r="M365" s="68">
        <f t="shared" si="27"/>
        <v>2080.5</v>
      </c>
      <c r="N365" s="68">
        <f t="shared" si="28"/>
        <v>1140</v>
      </c>
      <c r="O365" s="68">
        <f t="shared" si="29"/>
        <v>940.5</v>
      </c>
    </row>
    <row r="366" spans="1:15" x14ac:dyDescent="0.3">
      <c r="A366" s="67" t="s">
        <v>460</v>
      </c>
      <c r="B366" s="70">
        <v>45431</v>
      </c>
      <c r="C366" s="67">
        <f t="shared" si="25"/>
        <v>2024</v>
      </c>
      <c r="D366" s="67" t="str">
        <f t="shared" si="26"/>
        <v>05 May</v>
      </c>
      <c r="E366" s="67" t="s">
        <v>39</v>
      </c>
      <c r="F366" s="67" t="s">
        <v>69</v>
      </c>
      <c r="G366" s="67" t="s">
        <v>60</v>
      </c>
      <c r="H366" s="67" t="s">
        <v>107</v>
      </c>
      <c r="I366" s="71">
        <v>2</v>
      </c>
      <c r="J366" s="72">
        <v>24640</v>
      </c>
      <c r="K366" s="73">
        <v>0.15</v>
      </c>
      <c r="L366" s="72">
        <v>18000</v>
      </c>
      <c r="M366" s="68">
        <f t="shared" si="27"/>
        <v>41888</v>
      </c>
      <c r="N366" s="68">
        <f t="shared" si="28"/>
        <v>36000</v>
      </c>
      <c r="O366" s="68">
        <f t="shared" si="29"/>
        <v>5888</v>
      </c>
    </row>
    <row r="367" spans="1:15" x14ac:dyDescent="0.3">
      <c r="A367" s="67" t="s">
        <v>461</v>
      </c>
      <c r="B367" s="70">
        <v>45432</v>
      </c>
      <c r="C367" s="67">
        <f t="shared" si="25"/>
        <v>2024</v>
      </c>
      <c r="D367" s="67" t="str">
        <f t="shared" si="26"/>
        <v>05 May</v>
      </c>
      <c r="E367" s="67" t="s">
        <v>45</v>
      </c>
      <c r="F367" s="67" t="s">
        <v>69</v>
      </c>
      <c r="G367" s="67" t="s">
        <v>50</v>
      </c>
      <c r="H367" s="67" t="s">
        <v>87</v>
      </c>
      <c r="I367" s="71">
        <v>1</v>
      </c>
      <c r="J367" s="72">
        <v>54280</v>
      </c>
      <c r="K367" s="73">
        <v>0.05</v>
      </c>
      <c r="L367" s="72">
        <v>42000</v>
      </c>
      <c r="M367" s="68">
        <f t="shared" si="27"/>
        <v>51566</v>
      </c>
      <c r="N367" s="68">
        <f t="shared" si="28"/>
        <v>42000</v>
      </c>
      <c r="O367" s="68">
        <f t="shared" si="29"/>
        <v>9566</v>
      </c>
    </row>
    <row r="368" spans="1:15" x14ac:dyDescent="0.3">
      <c r="A368" s="67" t="s">
        <v>462</v>
      </c>
      <c r="B368" s="70">
        <v>45433</v>
      </c>
      <c r="C368" s="67">
        <f t="shared" si="25"/>
        <v>2024</v>
      </c>
      <c r="D368" s="67" t="str">
        <f t="shared" si="26"/>
        <v>05 May</v>
      </c>
      <c r="E368" s="67" t="s">
        <v>42</v>
      </c>
      <c r="F368" s="67" t="s">
        <v>69</v>
      </c>
      <c r="G368" s="67" t="s">
        <v>50</v>
      </c>
      <c r="H368" s="67" t="s">
        <v>89</v>
      </c>
      <c r="I368" s="71">
        <v>1</v>
      </c>
      <c r="J368" s="72">
        <v>54480</v>
      </c>
      <c r="K368" s="73">
        <v>0.05</v>
      </c>
      <c r="L368" s="72">
        <v>42000</v>
      </c>
      <c r="M368" s="68">
        <f t="shared" si="27"/>
        <v>51756</v>
      </c>
      <c r="N368" s="68">
        <f t="shared" si="28"/>
        <v>42000</v>
      </c>
      <c r="O368" s="68">
        <f t="shared" si="29"/>
        <v>9756</v>
      </c>
    </row>
    <row r="369" spans="1:15" x14ac:dyDescent="0.3">
      <c r="A369" s="67" t="s">
        <v>463</v>
      </c>
      <c r="B369" s="70">
        <v>45433</v>
      </c>
      <c r="C369" s="67">
        <f t="shared" si="25"/>
        <v>2024</v>
      </c>
      <c r="D369" s="67" t="str">
        <f t="shared" si="26"/>
        <v>05 May</v>
      </c>
      <c r="E369" s="67" t="s">
        <v>36</v>
      </c>
      <c r="F369" s="67" t="s">
        <v>69</v>
      </c>
      <c r="G369" s="67" t="s">
        <v>60</v>
      </c>
      <c r="H369" s="67" t="s">
        <v>114</v>
      </c>
      <c r="I369" s="71">
        <v>1</v>
      </c>
      <c r="J369" s="72">
        <v>24390</v>
      </c>
      <c r="K369" s="73">
        <v>0.15</v>
      </c>
      <c r="L369" s="72">
        <v>18000</v>
      </c>
      <c r="M369" s="68">
        <f t="shared" si="27"/>
        <v>20731.5</v>
      </c>
      <c r="N369" s="68">
        <f t="shared" si="28"/>
        <v>18000</v>
      </c>
      <c r="O369" s="68">
        <f t="shared" si="29"/>
        <v>2731.5</v>
      </c>
    </row>
    <row r="370" spans="1:15" x14ac:dyDescent="0.3">
      <c r="A370" s="67" t="s">
        <v>464</v>
      </c>
      <c r="B370" s="70">
        <v>45433</v>
      </c>
      <c r="C370" s="67">
        <f t="shared" si="25"/>
        <v>2024</v>
      </c>
      <c r="D370" s="67" t="str">
        <f t="shared" si="26"/>
        <v>05 May</v>
      </c>
      <c r="E370" s="67" t="s">
        <v>42</v>
      </c>
      <c r="F370" s="67" t="s">
        <v>69</v>
      </c>
      <c r="G370" s="67" t="s">
        <v>68</v>
      </c>
      <c r="H370" s="67" t="s">
        <v>112</v>
      </c>
      <c r="I370" s="71">
        <v>6</v>
      </c>
      <c r="J370" s="72">
        <v>3350</v>
      </c>
      <c r="K370" s="73">
        <v>0</v>
      </c>
      <c r="L370" s="72">
        <v>2000</v>
      </c>
      <c r="M370" s="68">
        <f t="shared" si="27"/>
        <v>20100</v>
      </c>
      <c r="N370" s="68">
        <f t="shared" si="28"/>
        <v>12000</v>
      </c>
      <c r="O370" s="68">
        <f t="shared" si="29"/>
        <v>8100</v>
      </c>
    </row>
    <row r="371" spans="1:15" x14ac:dyDescent="0.3">
      <c r="A371" s="67" t="s">
        <v>465</v>
      </c>
      <c r="B371" s="70">
        <v>45436</v>
      </c>
      <c r="C371" s="67">
        <f t="shared" si="25"/>
        <v>2024</v>
      </c>
      <c r="D371" s="67" t="str">
        <f t="shared" si="26"/>
        <v>05 May</v>
      </c>
      <c r="E371" s="67" t="s">
        <v>45</v>
      </c>
      <c r="F371" s="67" t="s">
        <v>70</v>
      </c>
      <c r="G371" s="67" t="s">
        <v>41</v>
      </c>
      <c r="H371" s="67" t="s">
        <v>93</v>
      </c>
      <c r="I371" s="71">
        <v>2</v>
      </c>
      <c r="J371" s="72">
        <v>6770</v>
      </c>
      <c r="K371" s="73">
        <v>0</v>
      </c>
      <c r="L371" s="72">
        <v>4200</v>
      </c>
      <c r="M371" s="68">
        <f t="shared" si="27"/>
        <v>13540</v>
      </c>
      <c r="N371" s="68">
        <f t="shared" si="28"/>
        <v>8400</v>
      </c>
      <c r="O371" s="68">
        <f t="shared" si="29"/>
        <v>5140</v>
      </c>
    </row>
    <row r="372" spans="1:15" x14ac:dyDescent="0.3">
      <c r="A372" s="67" t="s">
        <v>466</v>
      </c>
      <c r="B372" s="70">
        <v>45437</v>
      </c>
      <c r="C372" s="67">
        <f t="shared" si="25"/>
        <v>2024</v>
      </c>
      <c r="D372" s="67" t="str">
        <f t="shared" si="26"/>
        <v>05 May</v>
      </c>
      <c r="E372" s="67" t="s">
        <v>42</v>
      </c>
      <c r="F372" s="67" t="s">
        <v>69</v>
      </c>
      <c r="G372" s="67" t="s">
        <v>68</v>
      </c>
      <c r="H372" s="67" t="s">
        <v>89</v>
      </c>
      <c r="I372" s="71">
        <v>4</v>
      </c>
      <c r="J372" s="72">
        <v>3440</v>
      </c>
      <c r="K372" s="73">
        <v>0</v>
      </c>
      <c r="L372" s="72">
        <v>2000</v>
      </c>
      <c r="M372" s="68">
        <f t="shared" si="27"/>
        <v>13760</v>
      </c>
      <c r="N372" s="68">
        <f t="shared" si="28"/>
        <v>8000</v>
      </c>
      <c r="O372" s="68">
        <f t="shared" si="29"/>
        <v>5760</v>
      </c>
    </row>
    <row r="373" spans="1:15" x14ac:dyDescent="0.3">
      <c r="A373" s="67" t="s">
        <v>467</v>
      </c>
      <c r="B373" s="70">
        <v>45437</v>
      </c>
      <c r="C373" s="67">
        <f t="shared" si="25"/>
        <v>2024</v>
      </c>
      <c r="D373" s="67" t="str">
        <f t="shared" si="26"/>
        <v>05 May</v>
      </c>
      <c r="E373" s="67" t="s">
        <v>42</v>
      </c>
      <c r="F373" s="67" t="s">
        <v>71</v>
      </c>
      <c r="G373" s="67" t="s">
        <v>55</v>
      </c>
      <c r="H373" s="67" t="s">
        <v>112</v>
      </c>
      <c r="I373" s="71">
        <v>26</v>
      </c>
      <c r="J373" s="72">
        <v>460</v>
      </c>
      <c r="K373" s="73">
        <v>0.1</v>
      </c>
      <c r="L373" s="72">
        <v>250</v>
      </c>
      <c r="M373" s="68">
        <f t="shared" si="27"/>
        <v>10764</v>
      </c>
      <c r="N373" s="68">
        <f t="shared" si="28"/>
        <v>6500</v>
      </c>
      <c r="O373" s="68">
        <f t="shared" si="29"/>
        <v>4264</v>
      </c>
    </row>
    <row r="374" spans="1:15" x14ac:dyDescent="0.3">
      <c r="A374" s="67" t="s">
        <v>468</v>
      </c>
      <c r="B374" s="70">
        <v>45438</v>
      </c>
      <c r="C374" s="67">
        <f t="shared" si="25"/>
        <v>2024</v>
      </c>
      <c r="D374" s="67" t="str">
        <f t="shared" si="26"/>
        <v>05 May</v>
      </c>
      <c r="E374" s="67" t="s">
        <v>45</v>
      </c>
      <c r="F374" s="67" t="s">
        <v>70</v>
      </c>
      <c r="G374" s="67" t="s">
        <v>58</v>
      </c>
      <c r="H374" s="67" t="s">
        <v>93</v>
      </c>
      <c r="I374" s="71">
        <v>3</v>
      </c>
      <c r="J374" s="72">
        <v>8690</v>
      </c>
      <c r="K374" s="73">
        <v>0</v>
      </c>
      <c r="L374" s="72">
        <v>6000</v>
      </c>
      <c r="M374" s="68">
        <f t="shared" si="27"/>
        <v>26070</v>
      </c>
      <c r="N374" s="68">
        <f t="shared" si="28"/>
        <v>18000</v>
      </c>
      <c r="O374" s="68">
        <f t="shared" si="29"/>
        <v>8070</v>
      </c>
    </row>
    <row r="375" spans="1:15" x14ac:dyDescent="0.3">
      <c r="A375" s="67" t="s">
        <v>469</v>
      </c>
      <c r="B375" s="70">
        <v>45438</v>
      </c>
      <c r="C375" s="67">
        <f t="shared" si="25"/>
        <v>2024</v>
      </c>
      <c r="D375" s="67" t="str">
        <f t="shared" si="26"/>
        <v>05 May</v>
      </c>
      <c r="E375" s="67" t="s">
        <v>45</v>
      </c>
      <c r="F375" s="67" t="s">
        <v>69</v>
      </c>
      <c r="G375" s="67" t="s">
        <v>50</v>
      </c>
      <c r="H375" s="67" t="s">
        <v>93</v>
      </c>
      <c r="I375" s="71">
        <v>2</v>
      </c>
      <c r="J375" s="72">
        <v>53230</v>
      </c>
      <c r="K375" s="73">
        <v>0.05</v>
      </c>
      <c r="L375" s="72">
        <v>42000</v>
      </c>
      <c r="M375" s="68">
        <f t="shared" si="27"/>
        <v>101137</v>
      </c>
      <c r="N375" s="68">
        <f t="shared" si="28"/>
        <v>84000</v>
      </c>
      <c r="O375" s="68">
        <f t="shared" si="29"/>
        <v>17137</v>
      </c>
    </row>
    <row r="376" spans="1:15" x14ac:dyDescent="0.3">
      <c r="A376" s="67" t="s">
        <v>470</v>
      </c>
      <c r="B376" s="70">
        <v>45439</v>
      </c>
      <c r="C376" s="67">
        <f t="shared" si="25"/>
        <v>2024</v>
      </c>
      <c r="D376" s="67" t="str">
        <f t="shared" si="26"/>
        <v>05 May</v>
      </c>
      <c r="E376" s="67" t="s">
        <v>45</v>
      </c>
      <c r="F376" s="67" t="s">
        <v>71</v>
      </c>
      <c r="G376" s="67" t="s">
        <v>44</v>
      </c>
      <c r="H376" s="67" t="s">
        <v>93</v>
      </c>
      <c r="I376" s="71">
        <v>10</v>
      </c>
      <c r="J376" s="72">
        <v>670</v>
      </c>
      <c r="K376" s="73">
        <v>0</v>
      </c>
      <c r="L376" s="72">
        <v>380</v>
      </c>
      <c r="M376" s="68">
        <f t="shared" si="27"/>
        <v>6700</v>
      </c>
      <c r="N376" s="68">
        <f t="shared" si="28"/>
        <v>3800</v>
      </c>
      <c r="O376" s="68">
        <f t="shared" si="29"/>
        <v>2900</v>
      </c>
    </row>
    <row r="377" spans="1:15" x14ac:dyDescent="0.3">
      <c r="A377" s="67" t="s">
        <v>471</v>
      </c>
      <c r="B377" s="70">
        <v>45439</v>
      </c>
      <c r="C377" s="67">
        <f t="shared" si="25"/>
        <v>2024</v>
      </c>
      <c r="D377" s="67" t="str">
        <f t="shared" si="26"/>
        <v>05 May</v>
      </c>
      <c r="E377" s="67" t="s">
        <v>39</v>
      </c>
      <c r="F377" s="67" t="s">
        <v>66</v>
      </c>
      <c r="G377" s="67" t="s">
        <v>53</v>
      </c>
      <c r="H377" s="67" t="s">
        <v>100</v>
      </c>
      <c r="I377" s="71">
        <v>2</v>
      </c>
      <c r="J377" s="72">
        <v>10550</v>
      </c>
      <c r="K377" s="73">
        <v>0</v>
      </c>
      <c r="L377" s="72">
        <v>8000</v>
      </c>
      <c r="M377" s="68">
        <f t="shared" si="27"/>
        <v>21100</v>
      </c>
      <c r="N377" s="68">
        <f t="shared" si="28"/>
        <v>16000</v>
      </c>
      <c r="O377" s="68">
        <f t="shared" si="29"/>
        <v>5100</v>
      </c>
    </row>
    <row r="378" spans="1:15" x14ac:dyDescent="0.3">
      <c r="A378" s="67" t="s">
        <v>472</v>
      </c>
      <c r="B378" s="70">
        <v>45440</v>
      </c>
      <c r="C378" s="67">
        <f t="shared" si="25"/>
        <v>2024</v>
      </c>
      <c r="D378" s="67" t="str">
        <f t="shared" si="26"/>
        <v>05 May</v>
      </c>
      <c r="E378" s="67" t="s">
        <v>45</v>
      </c>
      <c r="F378" s="67" t="s">
        <v>70</v>
      </c>
      <c r="G378" s="67" t="s">
        <v>41</v>
      </c>
      <c r="H378" s="67" t="s">
        <v>87</v>
      </c>
      <c r="I378" s="71">
        <v>3</v>
      </c>
      <c r="J378" s="72">
        <v>6310</v>
      </c>
      <c r="K378" s="73">
        <v>0</v>
      </c>
      <c r="L378" s="72">
        <v>4200</v>
      </c>
      <c r="M378" s="68">
        <f t="shared" si="27"/>
        <v>18930</v>
      </c>
      <c r="N378" s="68">
        <f t="shared" si="28"/>
        <v>12600</v>
      </c>
      <c r="O378" s="68">
        <f t="shared" si="29"/>
        <v>6330</v>
      </c>
    </row>
    <row r="379" spans="1:15" x14ac:dyDescent="0.3">
      <c r="A379" s="67" t="s">
        <v>473</v>
      </c>
      <c r="B379" s="70">
        <v>45440</v>
      </c>
      <c r="C379" s="67">
        <f t="shared" si="25"/>
        <v>2024</v>
      </c>
      <c r="D379" s="67" t="str">
        <f t="shared" si="26"/>
        <v>05 May</v>
      </c>
      <c r="E379" s="67" t="s">
        <v>42</v>
      </c>
      <c r="F379" s="67" t="s">
        <v>66</v>
      </c>
      <c r="G379" s="67" t="s">
        <v>65</v>
      </c>
      <c r="H379" s="67" t="s">
        <v>112</v>
      </c>
      <c r="I379" s="71">
        <v>3</v>
      </c>
      <c r="J379" s="72">
        <v>14080</v>
      </c>
      <c r="K379" s="73">
        <v>0</v>
      </c>
      <c r="L379" s="72">
        <v>9000</v>
      </c>
      <c r="M379" s="68">
        <f t="shared" si="27"/>
        <v>42240</v>
      </c>
      <c r="N379" s="68">
        <f t="shared" si="28"/>
        <v>27000</v>
      </c>
      <c r="O379" s="68">
        <f t="shared" si="29"/>
        <v>15240</v>
      </c>
    </row>
    <row r="380" spans="1:15" x14ac:dyDescent="0.3">
      <c r="A380" s="67" t="s">
        <v>474</v>
      </c>
      <c r="B380" s="70">
        <v>45445</v>
      </c>
      <c r="C380" s="67">
        <f t="shared" si="25"/>
        <v>2024</v>
      </c>
      <c r="D380" s="67" t="str">
        <f t="shared" si="26"/>
        <v>06 Jun</v>
      </c>
      <c r="E380" s="67" t="s">
        <v>45</v>
      </c>
      <c r="F380" s="67" t="s">
        <v>70</v>
      </c>
      <c r="G380" s="67" t="s">
        <v>41</v>
      </c>
      <c r="H380" s="67" t="s">
        <v>93</v>
      </c>
      <c r="I380" s="71">
        <v>1</v>
      </c>
      <c r="J380" s="72">
        <v>6210</v>
      </c>
      <c r="K380" s="73">
        <v>0.05</v>
      </c>
      <c r="L380" s="72">
        <v>4200</v>
      </c>
      <c r="M380" s="68">
        <f t="shared" si="27"/>
        <v>5899.5</v>
      </c>
      <c r="N380" s="68">
        <f t="shared" si="28"/>
        <v>4200</v>
      </c>
      <c r="O380" s="68">
        <f t="shared" si="29"/>
        <v>1699.5</v>
      </c>
    </row>
    <row r="381" spans="1:15" x14ac:dyDescent="0.3">
      <c r="A381" s="67" t="s">
        <v>475</v>
      </c>
      <c r="B381" s="70">
        <v>45446</v>
      </c>
      <c r="C381" s="67">
        <f t="shared" si="25"/>
        <v>2024</v>
      </c>
      <c r="D381" s="67" t="str">
        <f t="shared" si="26"/>
        <v>06 Jun</v>
      </c>
      <c r="E381" s="67" t="s">
        <v>42</v>
      </c>
      <c r="F381" s="67" t="s">
        <v>69</v>
      </c>
      <c r="G381" s="67" t="s">
        <v>60</v>
      </c>
      <c r="H381" s="67" t="s">
        <v>89</v>
      </c>
      <c r="I381" s="71">
        <v>2</v>
      </c>
      <c r="J381" s="72">
        <v>22980</v>
      </c>
      <c r="K381" s="73">
        <v>0.05</v>
      </c>
      <c r="L381" s="72">
        <v>18000</v>
      </c>
      <c r="M381" s="68">
        <f t="shared" si="27"/>
        <v>43662</v>
      </c>
      <c r="N381" s="68">
        <f t="shared" si="28"/>
        <v>36000</v>
      </c>
      <c r="O381" s="68">
        <f t="shared" si="29"/>
        <v>7662</v>
      </c>
    </row>
    <row r="382" spans="1:15" x14ac:dyDescent="0.3">
      <c r="A382" s="67" t="s">
        <v>476</v>
      </c>
      <c r="B382" s="70">
        <v>45447</v>
      </c>
      <c r="C382" s="67">
        <f t="shared" si="25"/>
        <v>2024</v>
      </c>
      <c r="D382" s="67" t="str">
        <f t="shared" si="26"/>
        <v>06 Jun</v>
      </c>
      <c r="E382" s="67" t="s">
        <v>42</v>
      </c>
      <c r="F382" s="67" t="s">
        <v>66</v>
      </c>
      <c r="G382" s="67" t="s">
        <v>38</v>
      </c>
      <c r="H382" s="67" t="s">
        <v>89</v>
      </c>
      <c r="I382" s="71">
        <v>1</v>
      </c>
      <c r="J382" s="72">
        <v>14510</v>
      </c>
      <c r="K382" s="73">
        <v>0</v>
      </c>
      <c r="L382" s="72">
        <v>9500</v>
      </c>
      <c r="M382" s="68">
        <f t="shared" si="27"/>
        <v>14510</v>
      </c>
      <c r="N382" s="68">
        <f t="shared" si="28"/>
        <v>9500</v>
      </c>
      <c r="O382" s="68">
        <f t="shared" si="29"/>
        <v>5010</v>
      </c>
    </row>
    <row r="383" spans="1:15" x14ac:dyDescent="0.3">
      <c r="A383" s="67" t="s">
        <v>477</v>
      </c>
      <c r="B383" s="70">
        <v>45450</v>
      </c>
      <c r="C383" s="67">
        <f t="shared" si="25"/>
        <v>2024</v>
      </c>
      <c r="D383" s="67" t="str">
        <f t="shared" si="26"/>
        <v>06 Jun</v>
      </c>
      <c r="E383" s="67" t="s">
        <v>39</v>
      </c>
      <c r="F383" s="67" t="s">
        <v>69</v>
      </c>
      <c r="G383" s="67" t="s">
        <v>68</v>
      </c>
      <c r="H383" s="67" t="s">
        <v>100</v>
      </c>
      <c r="I383" s="71">
        <v>2</v>
      </c>
      <c r="J383" s="72">
        <v>3400</v>
      </c>
      <c r="K383" s="73">
        <v>0.15</v>
      </c>
      <c r="L383" s="72">
        <v>2000</v>
      </c>
      <c r="M383" s="68">
        <f t="shared" si="27"/>
        <v>5780</v>
      </c>
      <c r="N383" s="68">
        <f t="shared" si="28"/>
        <v>4000</v>
      </c>
      <c r="O383" s="68">
        <f t="shared" si="29"/>
        <v>1780</v>
      </c>
    </row>
    <row r="384" spans="1:15" x14ac:dyDescent="0.3">
      <c r="A384" s="67" t="s">
        <v>478</v>
      </c>
      <c r="B384" s="70">
        <v>45451</v>
      </c>
      <c r="C384" s="67">
        <f t="shared" si="25"/>
        <v>2024</v>
      </c>
      <c r="D384" s="67" t="str">
        <f t="shared" si="26"/>
        <v>06 Jun</v>
      </c>
      <c r="E384" s="67" t="s">
        <v>45</v>
      </c>
      <c r="F384" s="67" t="s">
        <v>70</v>
      </c>
      <c r="G384" s="67" t="s">
        <v>62</v>
      </c>
      <c r="H384" s="67" t="s">
        <v>87</v>
      </c>
      <c r="I384" s="71">
        <v>2</v>
      </c>
      <c r="J384" s="72">
        <v>18680</v>
      </c>
      <c r="K384" s="73">
        <v>0.05</v>
      </c>
      <c r="L384" s="72">
        <v>12500</v>
      </c>
      <c r="M384" s="68">
        <f t="shared" si="27"/>
        <v>35492</v>
      </c>
      <c r="N384" s="68">
        <f t="shared" si="28"/>
        <v>25000</v>
      </c>
      <c r="O384" s="68">
        <f t="shared" si="29"/>
        <v>10492</v>
      </c>
    </row>
    <row r="385" spans="1:15" x14ac:dyDescent="0.3">
      <c r="A385" s="67" t="s">
        <v>479</v>
      </c>
      <c r="B385" s="70">
        <v>45453</v>
      </c>
      <c r="C385" s="67">
        <f t="shared" si="25"/>
        <v>2024</v>
      </c>
      <c r="D385" s="67" t="str">
        <f t="shared" si="26"/>
        <v>06 Jun</v>
      </c>
      <c r="E385" s="67" t="s">
        <v>42</v>
      </c>
      <c r="F385" s="67" t="s">
        <v>70</v>
      </c>
      <c r="G385" s="67" t="s">
        <v>58</v>
      </c>
      <c r="H385" s="67" t="s">
        <v>112</v>
      </c>
      <c r="I385" s="71">
        <v>5</v>
      </c>
      <c r="J385" s="72">
        <v>8890</v>
      </c>
      <c r="K385" s="73">
        <v>0</v>
      </c>
      <c r="L385" s="72">
        <v>6000</v>
      </c>
      <c r="M385" s="68">
        <f t="shared" si="27"/>
        <v>44450</v>
      </c>
      <c r="N385" s="68">
        <f t="shared" si="28"/>
        <v>30000</v>
      </c>
      <c r="O385" s="68">
        <f t="shared" si="29"/>
        <v>14450</v>
      </c>
    </row>
    <row r="386" spans="1:15" x14ac:dyDescent="0.3">
      <c r="A386" s="67" t="s">
        <v>480</v>
      </c>
      <c r="B386" s="70">
        <v>45453</v>
      </c>
      <c r="C386" s="67">
        <f t="shared" ref="C386:C449" si="30">YEAR(B386)</f>
        <v>2024</v>
      </c>
      <c r="D386" s="67" t="str">
        <f t="shared" ref="D386:D449" si="31">CHOOSE(MONTH(B386),"01 Jan","02 Feb","03 Mar","04 Apr","05 May","06 Jun","07 Jul","08 Aug","09 Sep","10 Oct","11 Nov","12 Dec")</f>
        <v>06 Jun</v>
      </c>
      <c r="E386" s="67" t="s">
        <v>42</v>
      </c>
      <c r="F386" s="67" t="s">
        <v>70</v>
      </c>
      <c r="G386" s="67" t="s">
        <v>58</v>
      </c>
      <c r="H386" s="67" t="s">
        <v>89</v>
      </c>
      <c r="I386" s="71">
        <v>4</v>
      </c>
      <c r="J386" s="72">
        <v>8930</v>
      </c>
      <c r="K386" s="73">
        <v>0.05</v>
      </c>
      <c r="L386" s="72">
        <v>6000</v>
      </c>
      <c r="M386" s="68">
        <f t="shared" ref="M386:M449" si="32">I386*J386*(1-K386)</f>
        <v>33934</v>
      </c>
      <c r="N386" s="68">
        <f t="shared" ref="N386:N449" si="33">I386*L386</f>
        <v>24000</v>
      </c>
      <c r="O386" s="68">
        <f t="shared" ref="O386:O449" si="34">M386-N386</f>
        <v>9934</v>
      </c>
    </row>
    <row r="387" spans="1:15" x14ac:dyDescent="0.3">
      <c r="A387" s="67" t="s">
        <v>481</v>
      </c>
      <c r="B387" s="70">
        <v>45453</v>
      </c>
      <c r="C387" s="67">
        <f t="shared" si="30"/>
        <v>2024</v>
      </c>
      <c r="D387" s="67" t="str">
        <f t="shared" si="31"/>
        <v>06 Jun</v>
      </c>
      <c r="E387" s="67" t="s">
        <v>45</v>
      </c>
      <c r="F387" s="67" t="s">
        <v>71</v>
      </c>
      <c r="G387" s="67" t="s">
        <v>44</v>
      </c>
      <c r="H387" s="67" t="s">
        <v>87</v>
      </c>
      <c r="I387" s="71">
        <v>18</v>
      </c>
      <c r="J387" s="72">
        <v>720</v>
      </c>
      <c r="K387" s="73">
        <v>0</v>
      </c>
      <c r="L387" s="72">
        <v>380</v>
      </c>
      <c r="M387" s="68">
        <f t="shared" si="32"/>
        <v>12960</v>
      </c>
      <c r="N387" s="68">
        <f t="shared" si="33"/>
        <v>6840</v>
      </c>
      <c r="O387" s="68">
        <f t="shared" si="34"/>
        <v>6120</v>
      </c>
    </row>
    <row r="388" spans="1:15" x14ac:dyDescent="0.3">
      <c r="A388" s="67" t="s">
        <v>482</v>
      </c>
      <c r="B388" s="70">
        <v>45455</v>
      </c>
      <c r="C388" s="67">
        <f t="shared" si="30"/>
        <v>2024</v>
      </c>
      <c r="D388" s="67" t="str">
        <f t="shared" si="31"/>
        <v>06 Jun</v>
      </c>
      <c r="E388" s="67" t="s">
        <v>45</v>
      </c>
      <c r="F388" s="67" t="s">
        <v>69</v>
      </c>
      <c r="G388" s="67" t="s">
        <v>60</v>
      </c>
      <c r="H388" s="67" t="s">
        <v>87</v>
      </c>
      <c r="I388" s="71">
        <v>3</v>
      </c>
      <c r="J388" s="72">
        <v>23850</v>
      </c>
      <c r="K388" s="73">
        <v>0.1</v>
      </c>
      <c r="L388" s="72">
        <v>18000</v>
      </c>
      <c r="M388" s="68">
        <f t="shared" si="32"/>
        <v>64395</v>
      </c>
      <c r="N388" s="68">
        <f t="shared" si="33"/>
        <v>54000</v>
      </c>
      <c r="O388" s="68">
        <f t="shared" si="34"/>
        <v>10395</v>
      </c>
    </row>
    <row r="389" spans="1:15" x14ac:dyDescent="0.3">
      <c r="A389" s="67" t="s">
        <v>483</v>
      </c>
      <c r="B389" s="70">
        <v>45460</v>
      </c>
      <c r="C389" s="67">
        <f t="shared" si="30"/>
        <v>2024</v>
      </c>
      <c r="D389" s="67" t="str">
        <f t="shared" si="31"/>
        <v>06 Jun</v>
      </c>
      <c r="E389" s="67" t="s">
        <v>48</v>
      </c>
      <c r="F389" s="67" t="s">
        <v>71</v>
      </c>
      <c r="G389" s="67" t="s">
        <v>47</v>
      </c>
      <c r="H389" s="67" t="s">
        <v>98</v>
      </c>
      <c r="I389" s="71">
        <v>7</v>
      </c>
      <c r="J389" s="72">
        <v>310</v>
      </c>
      <c r="K389" s="73">
        <v>0.15</v>
      </c>
      <c r="L389" s="72">
        <v>160</v>
      </c>
      <c r="M389" s="68">
        <f t="shared" si="32"/>
        <v>1844.5</v>
      </c>
      <c r="N389" s="68">
        <f t="shared" si="33"/>
        <v>1120</v>
      </c>
      <c r="O389" s="68">
        <f t="shared" si="34"/>
        <v>724.5</v>
      </c>
    </row>
    <row r="390" spans="1:15" x14ac:dyDescent="0.3">
      <c r="A390" s="67" t="s">
        <v>484</v>
      </c>
      <c r="B390" s="70">
        <v>45460</v>
      </c>
      <c r="C390" s="67">
        <f t="shared" si="30"/>
        <v>2024</v>
      </c>
      <c r="D390" s="67" t="str">
        <f t="shared" si="31"/>
        <v>06 Jun</v>
      </c>
      <c r="E390" s="67" t="s">
        <v>42</v>
      </c>
      <c r="F390" s="67" t="s">
        <v>71</v>
      </c>
      <c r="G390" s="67" t="s">
        <v>55</v>
      </c>
      <c r="H390" s="67" t="s">
        <v>89</v>
      </c>
      <c r="I390" s="71">
        <v>18</v>
      </c>
      <c r="J390" s="72">
        <v>440</v>
      </c>
      <c r="K390" s="73">
        <v>0.05</v>
      </c>
      <c r="L390" s="72">
        <v>250</v>
      </c>
      <c r="M390" s="68">
        <f t="shared" si="32"/>
        <v>7524</v>
      </c>
      <c r="N390" s="68">
        <f t="shared" si="33"/>
        <v>4500</v>
      </c>
      <c r="O390" s="68">
        <f t="shared" si="34"/>
        <v>3024</v>
      </c>
    </row>
    <row r="391" spans="1:15" x14ac:dyDescent="0.3">
      <c r="A391" s="67" t="s">
        <v>485</v>
      </c>
      <c r="B391" s="70">
        <v>45461</v>
      </c>
      <c r="C391" s="67">
        <f t="shared" si="30"/>
        <v>2024</v>
      </c>
      <c r="D391" s="67" t="str">
        <f t="shared" si="31"/>
        <v>06 Jun</v>
      </c>
      <c r="E391" s="67" t="s">
        <v>39</v>
      </c>
      <c r="F391" s="67" t="s">
        <v>70</v>
      </c>
      <c r="G391" s="67" t="s">
        <v>41</v>
      </c>
      <c r="H391" s="67" t="s">
        <v>100</v>
      </c>
      <c r="I391" s="71">
        <v>4</v>
      </c>
      <c r="J391" s="72">
        <v>6730</v>
      </c>
      <c r="K391" s="73">
        <v>0</v>
      </c>
      <c r="L391" s="72">
        <v>4200</v>
      </c>
      <c r="M391" s="68">
        <f t="shared" si="32"/>
        <v>26920</v>
      </c>
      <c r="N391" s="68">
        <f t="shared" si="33"/>
        <v>16800</v>
      </c>
      <c r="O391" s="68">
        <f t="shared" si="34"/>
        <v>10120</v>
      </c>
    </row>
    <row r="392" spans="1:15" x14ac:dyDescent="0.3">
      <c r="A392" s="67" t="s">
        <v>486</v>
      </c>
      <c r="B392" s="70">
        <v>45462</v>
      </c>
      <c r="C392" s="67">
        <f t="shared" si="30"/>
        <v>2024</v>
      </c>
      <c r="D392" s="67" t="str">
        <f t="shared" si="31"/>
        <v>06 Jun</v>
      </c>
      <c r="E392" s="67" t="s">
        <v>39</v>
      </c>
      <c r="F392" s="67" t="s">
        <v>71</v>
      </c>
      <c r="G392" s="67" t="s">
        <v>44</v>
      </c>
      <c r="H392" s="67" t="s">
        <v>107</v>
      </c>
      <c r="I392" s="71">
        <v>4</v>
      </c>
      <c r="J392" s="72">
        <v>700</v>
      </c>
      <c r="K392" s="73">
        <v>0.1</v>
      </c>
      <c r="L392" s="72">
        <v>380</v>
      </c>
      <c r="M392" s="68">
        <f t="shared" si="32"/>
        <v>2520</v>
      </c>
      <c r="N392" s="68">
        <f t="shared" si="33"/>
        <v>1520</v>
      </c>
      <c r="O392" s="68">
        <f t="shared" si="34"/>
        <v>1000</v>
      </c>
    </row>
    <row r="393" spans="1:15" x14ac:dyDescent="0.3">
      <c r="A393" s="67" t="s">
        <v>487</v>
      </c>
      <c r="B393" s="70">
        <v>45464</v>
      </c>
      <c r="C393" s="67">
        <f t="shared" si="30"/>
        <v>2024</v>
      </c>
      <c r="D393" s="67" t="str">
        <f t="shared" si="31"/>
        <v>06 Jun</v>
      </c>
      <c r="E393" s="67" t="s">
        <v>45</v>
      </c>
      <c r="F393" s="67" t="s">
        <v>71</v>
      </c>
      <c r="G393" s="67" t="s">
        <v>44</v>
      </c>
      <c r="H393" s="67" t="s">
        <v>93</v>
      </c>
      <c r="I393" s="71">
        <v>8</v>
      </c>
      <c r="J393" s="72">
        <v>700</v>
      </c>
      <c r="K393" s="73">
        <v>0.1</v>
      </c>
      <c r="L393" s="72">
        <v>380</v>
      </c>
      <c r="M393" s="68">
        <f t="shared" si="32"/>
        <v>5040</v>
      </c>
      <c r="N393" s="68">
        <f t="shared" si="33"/>
        <v>3040</v>
      </c>
      <c r="O393" s="68">
        <f t="shared" si="34"/>
        <v>2000</v>
      </c>
    </row>
    <row r="394" spans="1:15" x14ac:dyDescent="0.3">
      <c r="A394" s="67" t="s">
        <v>488</v>
      </c>
      <c r="B394" s="70">
        <v>45465</v>
      </c>
      <c r="C394" s="67">
        <f t="shared" si="30"/>
        <v>2024</v>
      </c>
      <c r="D394" s="67" t="str">
        <f t="shared" si="31"/>
        <v>06 Jun</v>
      </c>
      <c r="E394" s="67" t="s">
        <v>45</v>
      </c>
      <c r="F394" s="67" t="s">
        <v>70</v>
      </c>
      <c r="G394" s="67" t="s">
        <v>62</v>
      </c>
      <c r="H394" s="67" t="s">
        <v>87</v>
      </c>
      <c r="I394" s="71">
        <v>2</v>
      </c>
      <c r="J394" s="72">
        <v>17300</v>
      </c>
      <c r="K394" s="73">
        <v>0.05</v>
      </c>
      <c r="L394" s="72">
        <v>12500</v>
      </c>
      <c r="M394" s="68">
        <f t="shared" si="32"/>
        <v>32870</v>
      </c>
      <c r="N394" s="68">
        <f t="shared" si="33"/>
        <v>25000</v>
      </c>
      <c r="O394" s="68">
        <f t="shared" si="34"/>
        <v>7870</v>
      </c>
    </row>
    <row r="395" spans="1:15" x14ac:dyDescent="0.3">
      <c r="A395" s="67" t="s">
        <v>489</v>
      </c>
      <c r="B395" s="70">
        <v>45468</v>
      </c>
      <c r="C395" s="67">
        <f t="shared" si="30"/>
        <v>2024</v>
      </c>
      <c r="D395" s="67" t="str">
        <f t="shared" si="31"/>
        <v>06 Jun</v>
      </c>
      <c r="E395" s="67" t="s">
        <v>39</v>
      </c>
      <c r="F395" s="67" t="s">
        <v>66</v>
      </c>
      <c r="G395" s="67" t="s">
        <v>53</v>
      </c>
      <c r="H395" s="67" t="s">
        <v>100</v>
      </c>
      <c r="I395" s="71">
        <v>1</v>
      </c>
      <c r="J395" s="72">
        <v>10850</v>
      </c>
      <c r="K395" s="73">
        <v>0</v>
      </c>
      <c r="L395" s="72">
        <v>8000</v>
      </c>
      <c r="M395" s="68">
        <f t="shared" si="32"/>
        <v>10850</v>
      </c>
      <c r="N395" s="68">
        <f t="shared" si="33"/>
        <v>8000</v>
      </c>
      <c r="O395" s="68">
        <f t="shared" si="34"/>
        <v>2850</v>
      </c>
    </row>
    <row r="396" spans="1:15" x14ac:dyDescent="0.3">
      <c r="A396" s="67" t="s">
        <v>490</v>
      </c>
      <c r="B396" s="70">
        <v>45470</v>
      </c>
      <c r="C396" s="67">
        <f t="shared" si="30"/>
        <v>2024</v>
      </c>
      <c r="D396" s="67" t="str">
        <f t="shared" si="31"/>
        <v>06 Jun</v>
      </c>
      <c r="E396" s="67" t="s">
        <v>45</v>
      </c>
      <c r="F396" s="67" t="s">
        <v>70</v>
      </c>
      <c r="G396" s="67" t="s">
        <v>41</v>
      </c>
      <c r="H396" s="67" t="s">
        <v>93</v>
      </c>
      <c r="I396" s="71">
        <v>3</v>
      </c>
      <c r="J396" s="72">
        <v>6290</v>
      </c>
      <c r="K396" s="73">
        <v>0</v>
      </c>
      <c r="L396" s="72">
        <v>4200</v>
      </c>
      <c r="M396" s="68">
        <f t="shared" si="32"/>
        <v>18870</v>
      </c>
      <c r="N396" s="68">
        <f t="shared" si="33"/>
        <v>12600</v>
      </c>
      <c r="O396" s="68">
        <f t="shared" si="34"/>
        <v>6270</v>
      </c>
    </row>
    <row r="397" spans="1:15" x14ac:dyDescent="0.3">
      <c r="A397" s="67" t="s">
        <v>491</v>
      </c>
      <c r="B397" s="70">
        <v>45470</v>
      </c>
      <c r="C397" s="67">
        <f t="shared" si="30"/>
        <v>2024</v>
      </c>
      <c r="D397" s="67" t="str">
        <f t="shared" si="31"/>
        <v>06 Jun</v>
      </c>
      <c r="E397" s="67" t="s">
        <v>45</v>
      </c>
      <c r="F397" s="67" t="s">
        <v>69</v>
      </c>
      <c r="G397" s="67" t="s">
        <v>50</v>
      </c>
      <c r="H397" s="67" t="s">
        <v>93</v>
      </c>
      <c r="I397" s="71">
        <v>1</v>
      </c>
      <c r="J397" s="72">
        <v>53780</v>
      </c>
      <c r="K397" s="73">
        <v>0.05</v>
      </c>
      <c r="L397" s="72">
        <v>42000</v>
      </c>
      <c r="M397" s="68">
        <f t="shared" si="32"/>
        <v>51091</v>
      </c>
      <c r="N397" s="68">
        <f t="shared" si="33"/>
        <v>42000</v>
      </c>
      <c r="O397" s="68">
        <f t="shared" si="34"/>
        <v>9091</v>
      </c>
    </row>
    <row r="398" spans="1:15" x14ac:dyDescent="0.3">
      <c r="A398" s="67" t="s">
        <v>492</v>
      </c>
      <c r="B398" s="70">
        <v>45476</v>
      </c>
      <c r="C398" s="67">
        <f t="shared" si="30"/>
        <v>2024</v>
      </c>
      <c r="D398" s="67" t="str">
        <f t="shared" si="31"/>
        <v>07 Jul</v>
      </c>
      <c r="E398" s="67" t="s">
        <v>45</v>
      </c>
      <c r="F398" s="67" t="s">
        <v>69</v>
      </c>
      <c r="G398" s="67" t="s">
        <v>50</v>
      </c>
      <c r="H398" s="67" t="s">
        <v>87</v>
      </c>
      <c r="I398" s="71">
        <v>2</v>
      </c>
      <c r="J398" s="72">
        <v>56000</v>
      </c>
      <c r="K398" s="73">
        <v>0</v>
      </c>
      <c r="L398" s="72">
        <v>42000</v>
      </c>
      <c r="M398" s="68">
        <f t="shared" si="32"/>
        <v>112000</v>
      </c>
      <c r="N398" s="68">
        <f t="shared" si="33"/>
        <v>84000</v>
      </c>
      <c r="O398" s="68">
        <f t="shared" si="34"/>
        <v>28000</v>
      </c>
    </row>
    <row r="399" spans="1:15" x14ac:dyDescent="0.3">
      <c r="A399" s="67" t="s">
        <v>493</v>
      </c>
      <c r="B399" s="70">
        <v>45482</v>
      </c>
      <c r="C399" s="67">
        <f t="shared" si="30"/>
        <v>2024</v>
      </c>
      <c r="D399" s="67" t="str">
        <f t="shared" si="31"/>
        <v>07 Jul</v>
      </c>
      <c r="E399" s="67" t="s">
        <v>45</v>
      </c>
      <c r="F399" s="67" t="s">
        <v>71</v>
      </c>
      <c r="G399" s="67" t="s">
        <v>44</v>
      </c>
      <c r="H399" s="67" t="s">
        <v>93</v>
      </c>
      <c r="I399" s="71">
        <v>3</v>
      </c>
      <c r="J399" s="72">
        <v>730</v>
      </c>
      <c r="K399" s="73">
        <v>0.15</v>
      </c>
      <c r="L399" s="72">
        <v>380</v>
      </c>
      <c r="M399" s="68">
        <f t="shared" si="32"/>
        <v>1861.5</v>
      </c>
      <c r="N399" s="68">
        <f t="shared" si="33"/>
        <v>1140</v>
      </c>
      <c r="O399" s="68">
        <f t="shared" si="34"/>
        <v>721.5</v>
      </c>
    </row>
    <row r="400" spans="1:15" x14ac:dyDescent="0.3">
      <c r="A400" s="67" t="s">
        <v>494</v>
      </c>
      <c r="B400" s="70">
        <v>45485</v>
      </c>
      <c r="C400" s="67">
        <f t="shared" si="30"/>
        <v>2024</v>
      </c>
      <c r="D400" s="67" t="str">
        <f t="shared" si="31"/>
        <v>07 Jul</v>
      </c>
      <c r="E400" s="67" t="s">
        <v>45</v>
      </c>
      <c r="F400" s="67" t="s">
        <v>70</v>
      </c>
      <c r="G400" s="67" t="s">
        <v>62</v>
      </c>
      <c r="H400" s="67" t="s">
        <v>87</v>
      </c>
      <c r="I400" s="71">
        <v>1</v>
      </c>
      <c r="J400" s="72">
        <v>17140</v>
      </c>
      <c r="K400" s="73">
        <v>0.05</v>
      </c>
      <c r="L400" s="72">
        <v>12500</v>
      </c>
      <c r="M400" s="68">
        <f t="shared" si="32"/>
        <v>16283</v>
      </c>
      <c r="N400" s="68">
        <f t="shared" si="33"/>
        <v>12500</v>
      </c>
      <c r="O400" s="68">
        <f t="shared" si="34"/>
        <v>3783</v>
      </c>
    </row>
    <row r="401" spans="1:15" x14ac:dyDescent="0.3">
      <c r="A401" s="67" t="s">
        <v>495</v>
      </c>
      <c r="B401" s="70">
        <v>45487</v>
      </c>
      <c r="C401" s="67">
        <f t="shared" si="30"/>
        <v>2024</v>
      </c>
      <c r="D401" s="67" t="str">
        <f t="shared" si="31"/>
        <v>07 Jul</v>
      </c>
      <c r="E401" s="67" t="s">
        <v>39</v>
      </c>
      <c r="F401" s="67" t="s">
        <v>66</v>
      </c>
      <c r="G401" s="67" t="s">
        <v>53</v>
      </c>
      <c r="H401" s="67" t="s">
        <v>100</v>
      </c>
      <c r="I401" s="71">
        <v>1</v>
      </c>
      <c r="J401" s="72">
        <v>11200</v>
      </c>
      <c r="K401" s="73">
        <v>0.1</v>
      </c>
      <c r="L401" s="72">
        <v>8000</v>
      </c>
      <c r="M401" s="68">
        <f t="shared" si="32"/>
        <v>10080</v>
      </c>
      <c r="N401" s="68">
        <f t="shared" si="33"/>
        <v>8000</v>
      </c>
      <c r="O401" s="68">
        <f t="shared" si="34"/>
        <v>2080</v>
      </c>
    </row>
    <row r="402" spans="1:15" x14ac:dyDescent="0.3">
      <c r="A402" s="67" t="s">
        <v>496</v>
      </c>
      <c r="B402" s="70">
        <v>45488</v>
      </c>
      <c r="C402" s="67">
        <f t="shared" si="30"/>
        <v>2024</v>
      </c>
      <c r="D402" s="67" t="str">
        <f t="shared" si="31"/>
        <v>07 Jul</v>
      </c>
      <c r="E402" s="67" t="s">
        <v>39</v>
      </c>
      <c r="F402" s="67" t="s">
        <v>66</v>
      </c>
      <c r="G402" s="67" t="s">
        <v>38</v>
      </c>
      <c r="H402" s="67" t="s">
        <v>100</v>
      </c>
      <c r="I402" s="71">
        <v>3</v>
      </c>
      <c r="J402" s="72">
        <v>14380</v>
      </c>
      <c r="K402" s="73">
        <v>0</v>
      </c>
      <c r="L402" s="72">
        <v>9500</v>
      </c>
      <c r="M402" s="68">
        <f t="shared" si="32"/>
        <v>43140</v>
      </c>
      <c r="N402" s="68">
        <f t="shared" si="33"/>
        <v>28500</v>
      </c>
      <c r="O402" s="68">
        <f t="shared" si="34"/>
        <v>14640</v>
      </c>
    </row>
    <row r="403" spans="1:15" x14ac:dyDescent="0.3">
      <c r="A403" s="67" t="s">
        <v>497</v>
      </c>
      <c r="B403" s="70">
        <v>45490</v>
      </c>
      <c r="C403" s="67">
        <f t="shared" si="30"/>
        <v>2024</v>
      </c>
      <c r="D403" s="67" t="str">
        <f t="shared" si="31"/>
        <v>07 Jul</v>
      </c>
      <c r="E403" s="67" t="s">
        <v>36</v>
      </c>
      <c r="F403" s="67" t="s">
        <v>71</v>
      </c>
      <c r="G403" s="67" t="s">
        <v>55</v>
      </c>
      <c r="H403" s="67" t="s">
        <v>91</v>
      </c>
      <c r="I403" s="71">
        <v>11</v>
      </c>
      <c r="J403" s="72">
        <v>440</v>
      </c>
      <c r="K403" s="73">
        <v>0</v>
      </c>
      <c r="L403" s="72">
        <v>250</v>
      </c>
      <c r="M403" s="68">
        <f t="shared" si="32"/>
        <v>4840</v>
      </c>
      <c r="N403" s="68">
        <f t="shared" si="33"/>
        <v>2750</v>
      </c>
      <c r="O403" s="68">
        <f t="shared" si="34"/>
        <v>2090</v>
      </c>
    </row>
    <row r="404" spans="1:15" x14ac:dyDescent="0.3">
      <c r="A404" s="67" t="s">
        <v>498</v>
      </c>
      <c r="B404" s="70">
        <v>45491</v>
      </c>
      <c r="C404" s="67">
        <f t="shared" si="30"/>
        <v>2024</v>
      </c>
      <c r="D404" s="67" t="str">
        <f t="shared" si="31"/>
        <v>07 Jul</v>
      </c>
      <c r="E404" s="67" t="s">
        <v>48</v>
      </c>
      <c r="F404" s="67" t="s">
        <v>70</v>
      </c>
      <c r="G404" s="67" t="s">
        <v>58</v>
      </c>
      <c r="H404" s="67" t="s">
        <v>95</v>
      </c>
      <c r="I404" s="71">
        <v>4</v>
      </c>
      <c r="J404" s="72">
        <v>8880</v>
      </c>
      <c r="K404" s="73">
        <v>0.05</v>
      </c>
      <c r="L404" s="72">
        <v>6000</v>
      </c>
      <c r="M404" s="68">
        <f t="shared" si="32"/>
        <v>33744</v>
      </c>
      <c r="N404" s="68">
        <f t="shared" si="33"/>
        <v>24000</v>
      </c>
      <c r="O404" s="68">
        <f t="shared" si="34"/>
        <v>9744</v>
      </c>
    </row>
    <row r="405" spans="1:15" x14ac:dyDescent="0.3">
      <c r="A405" s="67" t="s">
        <v>499</v>
      </c>
      <c r="B405" s="70">
        <v>45493</v>
      </c>
      <c r="C405" s="67">
        <f t="shared" si="30"/>
        <v>2024</v>
      </c>
      <c r="D405" s="67" t="str">
        <f t="shared" si="31"/>
        <v>07 Jul</v>
      </c>
      <c r="E405" s="67" t="s">
        <v>42</v>
      </c>
      <c r="F405" s="67" t="s">
        <v>70</v>
      </c>
      <c r="G405" s="67" t="s">
        <v>62</v>
      </c>
      <c r="H405" s="67" t="s">
        <v>112</v>
      </c>
      <c r="I405" s="71">
        <v>3</v>
      </c>
      <c r="J405" s="72">
        <v>17180</v>
      </c>
      <c r="K405" s="73">
        <v>0.15</v>
      </c>
      <c r="L405" s="72">
        <v>12500</v>
      </c>
      <c r="M405" s="68">
        <f t="shared" si="32"/>
        <v>43809</v>
      </c>
      <c r="N405" s="68">
        <f t="shared" si="33"/>
        <v>37500</v>
      </c>
      <c r="O405" s="68">
        <f t="shared" si="34"/>
        <v>6309</v>
      </c>
    </row>
    <row r="406" spans="1:15" x14ac:dyDescent="0.3">
      <c r="A406" s="67" t="s">
        <v>500</v>
      </c>
      <c r="B406" s="70">
        <v>45495</v>
      </c>
      <c r="C406" s="67">
        <f t="shared" si="30"/>
        <v>2024</v>
      </c>
      <c r="D406" s="67" t="str">
        <f t="shared" si="31"/>
        <v>07 Jul</v>
      </c>
      <c r="E406" s="67" t="s">
        <v>42</v>
      </c>
      <c r="F406" s="67" t="s">
        <v>70</v>
      </c>
      <c r="G406" s="67" t="s">
        <v>62</v>
      </c>
      <c r="H406" s="67" t="s">
        <v>112</v>
      </c>
      <c r="I406" s="71">
        <v>2</v>
      </c>
      <c r="J406" s="72">
        <v>17130</v>
      </c>
      <c r="K406" s="73">
        <v>0</v>
      </c>
      <c r="L406" s="72">
        <v>12500</v>
      </c>
      <c r="M406" s="68">
        <f t="shared" si="32"/>
        <v>34260</v>
      </c>
      <c r="N406" s="68">
        <f t="shared" si="33"/>
        <v>25000</v>
      </c>
      <c r="O406" s="68">
        <f t="shared" si="34"/>
        <v>9260</v>
      </c>
    </row>
    <row r="407" spans="1:15" x14ac:dyDescent="0.3">
      <c r="A407" s="67" t="s">
        <v>501</v>
      </c>
      <c r="B407" s="70">
        <v>45497</v>
      </c>
      <c r="C407" s="67">
        <f t="shared" si="30"/>
        <v>2024</v>
      </c>
      <c r="D407" s="67" t="str">
        <f t="shared" si="31"/>
        <v>07 Jul</v>
      </c>
      <c r="E407" s="67" t="s">
        <v>45</v>
      </c>
      <c r="F407" s="67" t="s">
        <v>66</v>
      </c>
      <c r="G407" s="67" t="s">
        <v>65</v>
      </c>
      <c r="H407" s="67" t="s">
        <v>93</v>
      </c>
      <c r="I407" s="71">
        <v>1</v>
      </c>
      <c r="J407" s="72">
        <v>13950</v>
      </c>
      <c r="K407" s="73">
        <v>0</v>
      </c>
      <c r="L407" s="72">
        <v>9000</v>
      </c>
      <c r="M407" s="68">
        <f t="shared" si="32"/>
        <v>13950</v>
      </c>
      <c r="N407" s="68">
        <f t="shared" si="33"/>
        <v>9000</v>
      </c>
      <c r="O407" s="68">
        <f t="shared" si="34"/>
        <v>4950</v>
      </c>
    </row>
    <row r="408" spans="1:15" x14ac:dyDescent="0.3">
      <c r="A408" s="67" t="s">
        <v>502</v>
      </c>
      <c r="B408" s="70">
        <v>45507</v>
      </c>
      <c r="C408" s="67">
        <f t="shared" si="30"/>
        <v>2024</v>
      </c>
      <c r="D408" s="67" t="str">
        <f t="shared" si="31"/>
        <v>08 Aug</v>
      </c>
      <c r="E408" s="67" t="s">
        <v>48</v>
      </c>
      <c r="F408" s="67" t="s">
        <v>70</v>
      </c>
      <c r="G408" s="67" t="s">
        <v>41</v>
      </c>
      <c r="H408" s="67" t="s">
        <v>95</v>
      </c>
      <c r="I408" s="71">
        <v>4</v>
      </c>
      <c r="J408" s="72">
        <v>6670</v>
      </c>
      <c r="K408" s="73">
        <v>0</v>
      </c>
      <c r="L408" s="72">
        <v>4200</v>
      </c>
      <c r="M408" s="68">
        <f t="shared" si="32"/>
        <v>26680</v>
      </c>
      <c r="N408" s="68">
        <f t="shared" si="33"/>
        <v>16800</v>
      </c>
      <c r="O408" s="68">
        <f t="shared" si="34"/>
        <v>9880</v>
      </c>
    </row>
    <row r="409" spans="1:15" x14ac:dyDescent="0.3">
      <c r="A409" s="67" t="s">
        <v>503</v>
      </c>
      <c r="B409" s="70">
        <v>45510</v>
      </c>
      <c r="C409" s="67">
        <f t="shared" si="30"/>
        <v>2024</v>
      </c>
      <c r="D409" s="67" t="str">
        <f t="shared" si="31"/>
        <v>08 Aug</v>
      </c>
      <c r="E409" s="67" t="s">
        <v>42</v>
      </c>
      <c r="F409" s="67" t="s">
        <v>66</v>
      </c>
      <c r="G409" s="67" t="s">
        <v>53</v>
      </c>
      <c r="H409" s="67" t="s">
        <v>112</v>
      </c>
      <c r="I409" s="71">
        <v>1</v>
      </c>
      <c r="J409" s="72">
        <v>10550</v>
      </c>
      <c r="K409" s="73">
        <v>0</v>
      </c>
      <c r="L409" s="72">
        <v>8000</v>
      </c>
      <c r="M409" s="68">
        <f t="shared" si="32"/>
        <v>10550</v>
      </c>
      <c r="N409" s="68">
        <f t="shared" si="33"/>
        <v>8000</v>
      </c>
      <c r="O409" s="68">
        <f t="shared" si="34"/>
        <v>2550</v>
      </c>
    </row>
    <row r="410" spans="1:15" x14ac:dyDescent="0.3">
      <c r="A410" s="67" t="s">
        <v>504</v>
      </c>
      <c r="B410" s="70">
        <v>45510</v>
      </c>
      <c r="C410" s="67">
        <f t="shared" si="30"/>
        <v>2024</v>
      </c>
      <c r="D410" s="67" t="str">
        <f t="shared" si="31"/>
        <v>08 Aug</v>
      </c>
      <c r="E410" s="67" t="s">
        <v>48</v>
      </c>
      <c r="F410" s="67" t="s">
        <v>66</v>
      </c>
      <c r="G410" s="67" t="s">
        <v>65</v>
      </c>
      <c r="H410" s="67" t="s">
        <v>98</v>
      </c>
      <c r="I410" s="71">
        <v>2</v>
      </c>
      <c r="J410" s="72">
        <v>13320</v>
      </c>
      <c r="K410" s="73">
        <v>0.05</v>
      </c>
      <c r="L410" s="72">
        <v>9000</v>
      </c>
      <c r="M410" s="68">
        <f t="shared" si="32"/>
        <v>25308</v>
      </c>
      <c r="N410" s="68">
        <f t="shared" si="33"/>
        <v>18000</v>
      </c>
      <c r="O410" s="68">
        <f t="shared" si="34"/>
        <v>7308</v>
      </c>
    </row>
    <row r="411" spans="1:15" x14ac:dyDescent="0.3">
      <c r="A411" s="67" t="s">
        <v>505</v>
      </c>
      <c r="B411" s="70">
        <v>45511</v>
      </c>
      <c r="C411" s="67">
        <f t="shared" si="30"/>
        <v>2024</v>
      </c>
      <c r="D411" s="67" t="str">
        <f t="shared" si="31"/>
        <v>08 Aug</v>
      </c>
      <c r="E411" s="67" t="s">
        <v>39</v>
      </c>
      <c r="F411" s="67" t="s">
        <v>71</v>
      </c>
      <c r="G411" s="67" t="s">
        <v>55</v>
      </c>
      <c r="H411" s="67" t="s">
        <v>107</v>
      </c>
      <c r="I411" s="71">
        <v>8</v>
      </c>
      <c r="J411" s="72">
        <v>450</v>
      </c>
      <c r="K411" s="73">
        <v>0</v>
      </c>
      <c r="L411" s="72">
        <v>250</v>
      </c>
      <c r="M411" s="68">
        <f t="shared" si="32"/>
        <v>3600</v>
      </c>
      <c r="N411" s="68">
        <f t="shared" si="33"/>
        <v>2000</v>
      </c>
      <c r="O411" s="68">
        <f t="shared" si="34"/>
        <v>1600</v>
      </c>
    </row>
    <row r="412" spans="1:15" x14ac:dyDescent="0.3">
      <c r="A412" s="67" t="s">
        <v>506</v>
      </c>
      <c r="B412" s="70">
        <v>45513</v>
      </c>
      <c r="C412" s="67">
        <f t="shared" si="30"/>
        <v>2024</v>
      </c>
      <c r="D412" s="67" t="str">
        <f t="shared" si="31"/>
        <v>08 Aug</v>
      </c>
      <c r="E412" s="67" t="s">
        <v>48</v>
      </c>
      <c r="F412" s="67" t="s">
        <v>71</v>
      </c>
      <c r="G412" s="67" t="s">
        <v>55</v>
      </c>
      <c r="H412" s="67" t="s">
        <v>98</v>
      </c>
      <c r="I412" s="71">
        <v>24</v>
      </c>
      <c r="J412" s="72">
        <v>430</v>
      </c>
      <c r="K412" s="73">
        <v>0.1</v>
      </c>
      <c r="L412" s="72">
        <v>250</v>
      </c>
      <c r="M412" s="68">
        <f t="shared" si="32"/>
        <v>9288</v>
      </c>
      <c r="N412" s="68">
        <f t="shared" si="33"/>
        <v>6000</v>
      </c>
      <c r="O412" s="68">
        <f t="shared" si="34"/>
        <v>3288</v>
      </c>
    </row>
    <row r="413" spans="1:15" x14ac:dyDescent="0.3">
      <c r="A413" s="67" t="s">
        <v>507</v>
      </c>
      <c r="B413" s="70">
        <v>45514</v>
      </c>
      <c r="C413" s="67">
        <f t="shared" si="30"/>
        <v>2024</v>
      </c>
      <c r="D413" s="67" t="str">
        <f t="shared" si="31"/>
        <v>08 Aug</v>
      </c>
      <c r="E413" s="67" t="s">
        <v>45</v>
      </c>
      <c r="F413" s="67" t="s">
        <v>69</v>
      </c>
      <c r="G413" s="67" t="s">
        <v>50</v>
      </c>
      <c r="H413" s="67" t="s">
        <v>93</v>
      </c>
      <c r="I413" s="71">
        <v>1</v>
      </c>
      <c r="J413" s="72">
        <v>54920</v>
      </c>
      <c r="K413" s="73">
        <v>0.15</v>
      </c>
      <c r="L413" s="72">
        <v>42000</v>
      </c>
      <c r="M413" s="68">
        <f t="shared" si="32"/>
        <v>46682</v>
      </c>
      <c r="N413" s="68">
        <f t="shared" si="33"/>
        <v>42000</v>
      </c>
      <c r="O413" s="68">
        <f t="shared" si="34"/>
        <v>4682</v>
      </c>
    </row>
    <row r="414" spans="1:15" x14ac:dyDescent="0.3">
      <c r="A414" s="67" t="s">
        <v>508</v>
      </c>
      <c r="B414" s="70">
        <v>45514</v>
      </c>
      <c r="C414" s="67">
        <f t="shared" si="30"/>
        <v>2024</v>
      </c>
      <c r="D414" s="67" t="str">
        <f t="shared" si="31"/>
        <v>08 Aug</v>
      </c>
      <c r="E414" s="67" t="s">
        <v>48</v>
      </c>
      <c r="F414" s="67" t="s">
        <v>69</v>
      </c>
      <c r="G414" s="67" t="s">
        <v>50</v>
      </c>
      <c r="H414" s="67" t="s">
        <v>98</v>
      </c>
      <c r="I414" s="71">
        <v>1</v>
      </c>
      <c r="J414" s="72">
        <v>55180</v>
      </c>
      <c r="K414" s="73">
        <v>0.1</v>
      </c>
      <c r="L414" s="72">
        <v>42000</v>
      </c>
      <c r="M414" s="68">
        <f t="shared" si="32"/>
        <v>49662</v>
      </c>
      <c r="N414" s="68">
        <f t="shared" si="33"/>
        <v>42000</v>
      </c>
      <c r="O414" s="68">
        <f t="shared" si="34"/>
        <v>7662</v>
      </c>
    </row>
    <row r="415" spans="1:15" x14ac:dyDescent="0.3">
      <c r="A415" s="67" t="s">
        <v>509</v>
      </c>
      <c r="B415" s="70">
        <v>45515</v>
      </c>
      <c r="C415" s="67">
        <f t="shared" si="30"/>
        <v>2024</v>
      </c>
      <c r="D415" s="67" t="str">
        <f t="shared" si="31"/>
        <v>08 Aug</v>
      </c>
      <c r="E415" s="67" t="s">
        <v>36</v>
      </c>
      <c r="F415" s="67" t="s">
        <v>70</v>
      </c>
      <c r="G415" s="67" t="s">
        <v>58</v>
      </c>
      <c r="H415" s="67" t="s">
        <v>114</v>
      </c>
      <c r="I415" s="71">
        <v>3</v>
      </c>
      <c r="J415" s="72">
        <v>8930</v>
      </c>
      <c r="K415" s="73">
        <v>0</v>
      </c>
      <c r="L415" s="72">
        <v>6000</v>
      </c>
      <c r="M415" s="68">
        <f t="shared" si="32"/>
        <v>26790</v>
      </c>
      <c r="N415" s="68">
        <f t="shared" si="33"/>
        <v>18000</v>
      </c>
      <c r="O415" s="68">
        <f t="shared" si="34"/>
        <v>8790</v>
      </c>
    </row>
    <row r="416" spans="1:15" x14ac:dyDescent="0.3">
      <c r="A416" s="67" t="s">
        <v>510</v>
      </c>
      <c r="B416" s="70">
        <v>45516</v>
      </c>
      <c r="C416" s="67">
        <f t="shared" si="30"/>
        <v>2024</v>
      </c>
      <c r="D416" s="67" t="str">
        <f t="shared" si="31"/>
        <v>08 Aug</v>
      </c>
      <c r="E416" s="67" t="s">
        <v>39</v>
      </c>
      <c r="F416" s="67" t="s">
        <v>70</v>
      </c>
      <c r="G416" s="67" t="s">
        <v>58</v>
      </c>
      <c r="H416" s="67" t="s">
        <v>100</v>
      </c>
      <c r="I416" s="71">
        <v>5</v>
      </c>
      <c r="J416" s="72">
        <v>8640</v>
      </c>
      <c r="K416" s="73">
        <v>0.05</v>
      </c>
      <c r="L416" s="72">
        <v>6000</v>
      </c>
      <c r="M416" s="68">
        <f t="shared" si="32"/>
        <v>41040</v>
      </c>
      <c r="N416" s="68">
        <f t="shared" si="33"/>
        <v>30000</v>
      </c>
      <c r="O416" s="68">
        <f t="shared" si="34"/>
        <v>11040</v>
      </c>
    </row>
    <row r="417" spans="1:15" x14ac:dyDescent="0.3">
      <c r="A417" s="67" t="s">
        <v>511</v>
      </c>
      <c r="B417" s="70">
        <v>45516</v>
      </c>
      <c r="C417" s="67">
        <f t="shared" si="30"/>
        <v>2024</v>
      </c>
      <c r="D417" s="67" t="str">
        <f t="shared" si="31"/>
        <v>08 Aug</v>
      </c>
      <c r="E417" s="67" t="s">
        <v>48</v>
      </c>
      <c r="F417" s="67" t="s">
        <v>69</v>
      </c>
      <c r="G417" s="67" t="s">
        <v>60</v>
      </c>
      <c r="H417" s="67" t="s">
        <v>98</v>
      </c>
      <c r="I417" s="71">
        <v>1</v>
      </c>
      <c r="J417" s="72">
        <v>23680</v>
      </c>
      <c r="K417" s="73">
        <v>0</v>
      </c>
      <c r="L417" s="72">
        <v>18000</v>
      </c>
      <c r="M417" s="68">
        <f t="shared" si="32"/>
        <v>23680</v>
      </c>
      <c r="N417" s="68">
        <f t="shared" si="33"/>
        <v>18000</v>
      </c>
      <c r="O417" s="68">
        <f t="shared" si="34"/>
        <v>5680</v>
      </c>
    </row>
    <row r="418" spans="1:15" x14ac:dyDescent="0.3">
      <c r="A418" s="67" t="s">
        <v>512</v>
      </c>
      <c r="B418" s="70">
        <v>45517</v>
      </c>
      <c r="C418" s="67">
        <f t="shared" si="30"/>
        <v>2024</v>
      </c>
      <c r="D418" s="67" t="str">
        <f t="shared" si="31"/>
        <v>08 Aug</v>
      </c>
      <c r="E418" s="67" t="s">
        <v>42</v>
      </c>
      <c r="F418" s="67" t="s">
        <v>66</v>
      </c>
      <c r="G418" s="67" t="s">
        <v>38</v>
      </c>
      <c r="H418" s="67" t="s">
        <v>112</v>
      </c>
      <c r="I418" s="71">
        <v>1</v>
      </c>
      <c r="J418" s="72">
        <v>13590</v>
      </c>
      <c r="K418" s="73">
        <v>0.05</v>
      </c>
      <c r="L418" s="72">
        <v>9500</v>
      </c>
      <c r="M418" s="68">
        <f t="shared" si="32"/>
        <v>12910.5</v>
      </c>
      <c r="N418" s="68">
        <f t="shared" si="33"/>
        <v>9500</v>
      </c>
      <c r="O418" s="68">
        <f t="shared" si="34"/>
        <v>3410.5</v>
      </c>
    </row>
    <row r="419" spans="1:15" x14ac:dyDescent="0.3">
      <c r="A419" s="67" t="s">
        <v>513</v>
      </c>
      <c r="B419" s="70">
        <v>45519</v>
      </c>
      <c r="C419" s="67">
        <f t="shared" si="30"/>
        <v>2024</v>
      </c>
      <c r="D419" s="67" t="str">
        <f t="shared" si="31"/>
        <v>08 Aug</v>
      </c>
      <c r="E419" s="67" t="s">
        <v>42</v>
      </c>
      <c r="F419" s="67" t="s">
        <v>71</v>
      </c>
      <c r="G419" s="67" t="s">
        <v>44</v>
      </c>
      <c r="H419" s="67" t="s">
        <v>89</v>
      </c>
      <c r="I419" s="71">
        <v>15</v>
      </c>
      <c r="J419" s="72">
        <v>730</v>
      </c>
      <c r="K419" s="73">
        <v>0.05</v>
      </c>
      <c r="L419" s="72">
        <v>380</v>
      </c>
      <c r="M419" s="68">
        <f t="shared" si="32"/>
        <v>10402.5</v>
      </c>
      <c r="N419" s="68">
        <f t="shared" si="33"/>
        <v>5700</v>
      </c>
      <c r="O419" s="68">
        <f t="shared" si="34"/>
        <v>4702.5</v>
      </c>
    </row>
    <row r="420" spans="1:15" x14ac:dyDescent="0.3">
      <c r="A420" s="67" t="s">
        <v>514</v>
      </c>
      <c r="B420" s="70">
        <v>45524</v>
      </c>
      <c r="C420" s="67">
        <f t="shared" si="30"/>
        <v>2024</v>
      </c>
      <c r="D420" s="67" t="str">
        <f t="shared" si="31"/>
        <v>08 Aug</v>
      </c>
      <c r="E420" s="67" t="s">
        <v>48</v>
      </c>
      <c r="F420" s="67" t="s">
        <v>69</v>
      </c>
      <c r="G420" s="67" t="s">
        <v>50</v>
      </c>
      <c r="H420" s="67" t="s">
        <v>98</v>
      </c>
      <c r="I420" s="71">
        <v>2</v>
      </c>
      <c r="J420" s="72">
        <v>53480</v>
      </c>
      <c r="K420" s="73">
        <v>0.1</v>
      </c>
      <c r="L420" s="72">
        <v>42000</v>
      </c>
      <c r="M420" s="68">
        <f t="shared" si="32"/>
        <v>96264</v>
      </c>
      <c r="N420" s="68">
        <f t="shared" si="33"/>
        <v>84000</v>
      </c>
      <c r="O420" s="68">
        <f t="shared" si="34"/>
        <v>12264</v>
      </c>
    </row>
    <row r="421" spans="1:15" x14ac:dyDescent="0.3">
      <c r="A421" s="67" t="s">
        <v>515</v>
      </c>
      <c r="B421" s="70">
        <v>45525</v>
      </c>
      <c r="C421" s="67">
        <f t="shared" si="30"/>
        <v>2024</v>
      </c>
      <c r="D421" s="67" t="str">
        <f t="shared" si="31"/>
        <v>08 Aug</v>
      </c>
      <c r="E421" s="67" t="s">
        <v>48</v>
      </c>
      <c r="F421" s="67" t="s">
        <v>71</v>
      </c>
      <c r="G421" s="67" t="s">
        <v>55</v>
      </c>
      <c r="H421" s="67" t="s">
        <v>95</v>
      </c>
      <c r="I421" s="71">
        <v>36</v>
      </c>
      <c r="J421" s="72">
        <v>470</v>
      </c>
      <c r="K421" s="73">
        <v>0</v>
      </c>
      <c r="L421" s="72">
        <v>250</v>
      </c>
      <c r="M421" s="68">
        <f t="shared" si="32"/>
        <v>16920</v>
      </c>
      <c r="N421" s="68">
        <f t="shared" si="33"/>
        <v>9000</v>
      </c>
      <c r="O421" s="68">
        <f t="shared" si="34"/>
        <v>7920</v>
      </c>
    </row>
    <row r="422" spans="1:15" x14ac:dyDescent="0.3">
      <c r="A422" s="67" t="s">
        <v>516</v>
      </c>
      <c r="B422" s="70">
        <v>45526</v>
      </c>
      <c r="C422" s="67">
        <f t="shared" si="30"/>
        <v>2024</v>
      </c>
      <c r="D422" s="67" t="str">
        <f t="shared" si="31"/>
        <v>08 Aug</v>
      </c>
      <c r="E422" s="67" t="s">
        <v>36</v>
      </c>
      <c r="F422" s="67" t="s">
        <v>71</v>
      </c>
      <c r="G422" s="67" t="s">
        <v>55</v>
      </c>
      <c r="H422" s="67" t="s">
        <v>91</v>
      </c>
      <c r="I422" s="71">
        <v>35</v>
      </c>
      <c r="J422" s="72">
        <v>460</v>
      </c>
      <c r="K422" s="73">
        <v>0.15</v>
      </c>
      <c r="L422" s="72">
        <v>250</v>
      </c>
      <c r="M422" s="68">
        <f t="shared" si="32"/>
        <v>13685</v>
      </c>
      <c r="N422" s="68">
        <f t="shared" si="33"/>
        <v>8750</v>
      </c>
      <c r="O422" s="68">
        <f t="shared" si="34"/>
        <v>4935</v>
      </c>
    </row>
    <row r="423" spans="1:15" x14ac:dyDescent="0.3">
      <c r="A423" s="67" t="s">
        <v>517</v>
      </c>
      <c r="B423" s="70">
        <v>45526</v>
      </c>
      <c r="C423" s="67">
        <f t="shared" si="30"/>
        <v>2024</v>
      </c>
      <c r="D423" s="67" t="str">
        <f t="shared" si="31"/>
        <v>08 Aug</v>
      </c>
      <c r="E423" s="67" t="s">
        <v>36</v>
      </c>
      <c r="F423" s="67" t="s">
        <v>69</v>
      </c>
      <c r="G423" s="67" t="s">
        <v>68</v>
      </c>
      <c r="H423" s="67" t="s">
        <v>91</v>
      </c>
      <c r="I423" s="71">
        <v>6</v>
      </c>
      <c r="J423" s="72">
        <v>3560</v>
      </c>
      <c r="K423" s="73">
        <v>0</v>
      </c>
      <c r="L423" s="72">
        <v>2000</v>
      </c>
      <c r="M423" s="68">
        <f t="shared" si="32"/>
        <v>21360</v>
      </c>
      <c r="N423" s="68">
        <f t="shared" si="33"/>
        <v>12000</v>
      </c>
      <c r="O423" s="68">
        <f t="shared" si="34"/>
        <v>9360</v>
      </c>
    </row>
    <row r="424" spans="1:15" x14ac:dyDescent="0.3">
      <c r="A424" s="67" t="s">
        <v>518</v>
      </c>
      <c r="B424" s="70">
        <v>45527</v>
      </c>
      <c r="C424" s="67">
        <f t="shared" si="30"/>
        <v>2024</v>
      </c>
      <c r="D424" s="67" t="str">
        <f t="shared" si="31"/>
        <v>08 Aug</v>
      </c>
      <c r="E424" s="67" t="s">
        <v>48</v>
      </c>
      <c r="F424" s="67" t="s">
        <v>69</v>
      </c>
      <c r="G424" s="67" t="s">
        <v>60</v>
      </c>
      <c r="H424" s="67" t="s">
        <v>98</v>
      </c>
      <c r="I424" s="71">
        <v>2</v>
      </c>
      <c r="J424" s="72">
        <v>25200</v>
      </c>
      <c r="K424" s="73">
        <v>0.05</v>
      </c>
      <c r="L424" s="72">
        <v>18000</v>
      </c>
      <c r="M424" s="68">
        <f t="shared" si="32"/>
        <v>47880</v>
      </c>
      <c r="N424" s="68">
        <f t="shared" si="33"/>
        <v>36000</v>
      </c>
      <c r="O424" s="68">
        <f t="shared" si="34"/>
        <v>11880</v>
      </c>
    </row>
    <row r="425" spans="1:15" x14ac:dyDescent="0.3">
      <c r="A425" s="67" t="s">
        <v>519</v>
      </c>
      <c r="B425" s="70">
        <v>45527</v>
      </c>
      <c r="C425" s="67">
        <f t="shared" si="30"/>
        <v>2024</v>
      </c>
      <c r="D425" s="67" t="str">
        <f t="shared" si="31"/>
        <v>08 Aug</v>
      </c>
      <c r="E425" s="67" t="s">
        <v>42</v>
      </c>
      <c r="F425" s="67" t="s">
        <v>71</v>
      </c>
      <c r="G425" s="67" t="s">
        <v>55</v>
      </c>
      <c r="H425" s="67" t="s">
        <v>112</v>
      </c>
      <c r="I425" s="71">
        <v>32</v>
      </c>
      <c r="J425" s="72">
        <v>440</v>
      </c>
      <c r="K425" s="73">
        <v>0.1</v>
      </c>
      <c r="L425" s="72">
        <v>250</v>
      </c>
      <c r="M425" s="68">
        <f t="shared" si="32"/>
        <v>12672</v>
      </c>
      <c r="N425" s="68">
        <f t="shared" si="33"/>
        <v>8000</v>
      </c>
      <c r="O425" s="68">
        <f t="shared" si="34"/>
        <v>4672</v>
      </c>
    </row>
    <row r="426" spans="1:15" x14ac:dyDescent="0.3">
      <c r="A426" s="67" t="s">
        <v>520</v>
      </c>
      <c r="B426" s="70">
        <v>45529</v>
      </c>
      <c r="C426" s="67">
        <f t="shared" si="30"/>
        <v>2024</v>
      </c>
      <c r="D426" s="67" t="str">
        <f t="shared" si="31"/>
        <v>08 Aug</v>
      </c>
      <c r="E426" s="67" t="s">
        <v>36</v>
      </c>
      <c r="F426" s="67" t="s">
        <v>71</v>
      </c>
      <c r="G426" s="67" t="s">
        <v>55</v>
      </c>
      <c r="H426" s="67" t="s">
        <v>91</v>
      </c>
      <c r="I426" s="71">
        <v>30</v>
      </c>
      <c r="J426" s="72">
        <v>460</v>
      </c>
      <c r="K426" s="73">
        <v>0</v>
      </c>
      <c r="L426" s="72">
        <v>250</v>
      </c>
      <c r="M426" s="68">
        <f t="shared" si="32"/>
        <v>13800</v>
      </c>
      <c r="N426" s="68">
        <f t="shared" si="33"/>
        <v>7500</v>
      </c>
      <c r="O426" s="68">
        <f t="shared" si="34"/>
        <v>6300</v>
      </c>
    </row>
    <row r="427" spans="1:15" x14ac:dyDescent="0.3">
      <c r="A427" s="67" t="s">
        <v>521</v>
      </c>
      <c r="B427" s="70">
        <v>45530</v>
      </c>
      <c r="C427" s="67">
        <f t="shared" si="30"/>
        <v>2024</v>
      </c>
      <c r="D427" s="67" t="str">
        <f t="shared" si="31"/>
        <v>08 Aug</v>
      </c>
      <c r="E427" s="67" t="s">
        <v>42</v>
      </c>
      <c r="F427" s="67" t="s">
        <v>69</v>
      </c>
      <c r="G427" s="67" t="s">
        <v>68</v>
      </c>
      <c r="H427" s="67" t="s">
        <v>112</v>
      </c>
      <c r="I427" s="71">
        <v>2</v>
      </c>
      <c r="J427" s="72">
        <v>3510</v>
      </c>
      <c r="K427" s="73">
        <v>0</v>
      </c>
      <c r="L427" s="72">
        <v>2000</v>
      </c>
      <c r="M427" s="68">
        <f t="shared" si="32"/>
        <v>7020</v>
      </c>
      <c r="N427" s="68">
        <f t="shared" si="33"/>
        <v>4000</v>
      </c>
      <c r="O427" s="68">
        <f t="shared" si="34"/>
        <v>3020</v>
      </c>
    </row>
    <row r="428" spans="1:15" x14ac:dyDescent="0.3">
      <c r="A428" s="67" t="s">
        <v>522</v>
      </c>
      <c r="B428" s="70">
        <v>45531</v>
      </c>
      <c r="C428" s="67">
        <f t="shared" si="30"/>
        <v>2024</v>
      </c>
      <c r="D428" s="67" t="str">
        <f t="shared" si="31"/>
        <v>08 Aug</v>
      </c>
      <c r="E428" s="67" t="s">
        <v>42</v>
      </c>
      <c r="F428" s="67" t="s">
        <v>66</v>
      </c>
      <c r="G428" s="67" t="s">
        <v>53</v>
      </c>
      <c r="H428" s="67" t="s">
        <v>112</v>
      </c>
      <c r="I428" s="71">
        <v>3</v>
      </c>
      <c r="J428" s="72">
        <v>11200</v>
      </c>
      <c r="K428" s="73">
        <v>0.15</v>
      </c>
      <c r="L428" s="72">
        <v>8000</v>
      </c>
      <c r="M428" s="68">
        <f t="shared" si="32"/>
        <v>28560</v>
      </c>
      <c r="N428" s="68">
        <f t="shared" si="33"/>
        <v>24000</v>
      </c>
      <c r="O428" s="68">
        <f t="shared" si="34"/>
        <v>4560</v>
      </c>
    </row>
    <row r="429" spans="1:15" x14ac:dyDescent="0.3">
      <c r="A429" s="67" t="s">
        <v>523</v>
      </c>
      <c r="B429" s="70">
        <v>45536</v>
      </c>
      <c r="C429" s="67">
        <f t="shared" si="30"/>
        <v>2024</v>
      </c>
      <c r="D429" s="67" t="str">
        <f t="shared" si="31"/>
        <v>09 Sep</v>
      </c>
      <c r="E429" s="67" t="s">
        <v>42</v>
      </c>
      <c r="F429" s="67" t="s">
        <v>66</v>
      </c>
      <c r="G429" s="67" t="s">
        <v>65</v>
      </c>
      <c r="H429" s="67" t="s">
        <v>89</v>
      </c>
      <c r="I429" s="71">
        <v>2</v>
      </c>
      <c r="J429" s="72">
        <v>12900</v>
      </c>
      <c r="K429" s="73">
        <v>0</v>
      </c>
      <c r="L429" s="72">
        <v>9000</v>
      </c>
      <c r="M429" s="68">
        <f t="shared" si="32"/>
        <v>25800</v>
      </c>
      <c r="N429" s="68">
        <f t="shared" si="33"/>
        <v>18000</v>
      </c>
      <c r="O429" s="68">
        <f t="shared" si="34"/>
        <v>7800</v>
      </c>
    </row>
    <row r="430" spans="1:15" x14ac:dyDescent="0.3">
      <c r="A430" s="67" t="s">
        <v>524</v>
      </c>
      <c r="B430" s="70">
        <v>45536</v>
      </c>
      <c r="C430" s="67">
        <f t="shared" si="30"/>
        <v>2024</v>
      </c>
      <c r="D430" s="67" t="str">
        <f t="shared" si="31"/>
        <v>09 Sep</v>
      </c>
      <c r="E430" s="67" t="s">
        <v>42</v>
      </c>
      <c r="F430" s="67" t="s">
        <v>70</v>
      </c>
      <c r="G430" s="67" t="s">
        <v>41</v>
      </c>
      <c r="H430" s="67" t="s">
        <v>89</v>
      </c>
      <c r="I430" s="71">
        <v>4</v>
      </c>
      <c r="J430" s="72">
        <v>6440</v>
      </c>
      <c r="K430" s="73">
        <v>0.1</v>
      </c>
      <c r="L430" s="72">
        <v>4200</v>
      </c>
      <c r="M430" s="68">
        <f t="shared" si="32"/>
        <v>23184</v>
      </c>
      <c r="N430" s="68">
        <f t="shared" si="33"/>
        <v>16800</v>
      </c>
      <c r="O430" s="68">
        <f t="shared" si="34"/>
        <v>6384</v>
      </c>
    </row>
    <row r="431" spans="1:15" x14ac:dyDescent="0.3">
      <c r="A431" s="67" t="s">
        <v>525</v>
      </c>
      <c r="B431" s="70">
        <v>45536</v>
      </c>
      <c r="C431" s="67">
        <f t="shared" si="30"/>
        <v>2024</v>
      </c>
      <c r="D431" s="67" t="str">
        <f t="shared" si="31"/>
        <v>09 Sep</v>
      </c>
      <c r="E431" s="67" t="s">
        <v>39</v>
      </c>
      <c r="F431" s="67" t="s">
        <v>71</v>
      </c>
      <c r="G431" s="67" t="s">
        <v>55</v>
      </c>
      <c r="H431" s="67" t="s">
        <v>100</v>
      </c>
      <c r="I431" s="71">
        <v>14</v>
      </c>
      <c r="J431" s="72">
        <v>450</v>
      </c>
      <c r="K431" s="73">
        <v>0</v>
      </c>
      <c r="L431" s="72">
        <v>250</v>
      </c>
      <c r="M431" s="68">
        <f t="shared" si="32"/>
        <v>6300</v>
      </c>
      <c r="N431" s="68">
        <f t="shared" si="33"/>
        <v>3500</v>
      </c>
      <c r="O431" s="68">
        <f t="shared" si="34"/>
        <v>2800</v>
      </c>
    </row>
    <row r="432" spans="1:15" x14ac:dyDescent="0.3">
      <c r="A432" s="67" t="s">
        <v>526</v>
      </c>
      <c r="B432" s="70">
        <v>45537</v>
      </c>
      <c r="C432" s="67">
        <f t="shared" si="30"/>
        <v>2024</v>
      </c>
      <c r="D432" s="67" t="str">
        <f t="shared" si="31"/>
        <v>09 Sep</v>
      </c>
      <c r="E432" s="67" t="s">
        <v>36</v>
      </c>
      <c r="F432" s="67" t="s">
        <v>71</v>
      </c>
      <c r="G432" s="67" t="s">
        <v>55</v>
      </c>
      <c r="H432" s="67" t="s">
        <v>91</v>
      </c>
      <c r="I432" s="71">
        <v>18</v>
      </c>
      <c r="J432" s="72">
        <v>460</v>
      </c>
      <c r="K432" s="73">
        <v>0</v>
      </c>
      <c r="L432" s="72">
        <v>250</v>
      </c>
      <c r="M432" s="68">
        <f t="shared" si="32"/>
        <v>8280</v>
      </c>
      <c r="N432" s="68">
        <f t="shared" si="33"/>
        <v>4500</v>
      </c>
      <c r="O432" s="68">
        <f t="shared" si="34"/>
        <v>3780</v>
      </c>
    </row>
    <row r="433" spans="1:15" x14ac:dyDescent="0.3">
      <c r="A433" s="67" t="s">
        <v>527</v>
      </c>
      <c r="B433" s="70">
        <v>45537</v>
      </c>
      <c r="C433" s="67">
        <f t="shared" si="30"/>
        <v>2024</v>
      </c>
      <c r="D433" s="67" t="str">
        <f t="shared" si="31"/>
        <v>09 Sep</v>
      </c>
      <c r="E433" s="67" t="s">
        <v>42</v>
      </c>
      <c r="F433" s="67" t="s">
        <v>70</v>
      </c>
      <c r="G433" s="67" t="s">
        <v>62</v>
      </c>
      <c r="H433" s="67" t="s">
        <v>89</v>
      </c>
      <c r="I433" s="71">
        <v>2</v>
      </c>
      <c r="J433" s="72">
        <v>18440</v>
      </c>
      <c r="K433" s="73">
        <v>0</v>
      </c>
      <c r="L433" s="72">
        <v>12500</v>
      </c>
      <c r="M433" s="68">
        <f t="shared" si="32"/>
        <v>36880</v>
      </c>
      <c r="N433" s="68">
        <f t="shared" si="33"/>
        <v>25000</v>
      </c>
      <c r="O433" s="68">
        <f t="shared" si="34"/>
        <v>11880</v>
      </c>
    </row>
    <row r="434" spans="1:15" x14ac:dyDescent="0.3">
      <c r="A434" s="67" t="s">
        <v>528</v>
      </c>
      <c r="B434" s="70">
        <v>45538</v>
      </c>
      <c r="C434" s="67">
        <f t="shared" si="30"/>
        <v>2024</v>
      </c>
      <c r="D434" s="67" t="str">
        <f t="shared" si="31"/>
        <v>09 Sep</v>
      </c>
      <c r="E434" s="67" t="s">
        <v>39</v>
      </c>
      <c r="F434" s="67" t="s">
        <v>71</v>
      </c>
      <c r="G434" s="67" t="s">
        <v>44</v>
      </c>
      <c r="H434" s="67" t="s">
        <v>100</v>
      </c>
      <c r="I434" s="71">
        <v>3</v>
      </c>
      <c r="J434" s="72">
        <v>710</v>
      </c>
      <c r="K434" s="73">
        <v>0.05</v>
      </c>
      <c r="L434" s="72">
        <v>380</v>
      </c>
      <c r="M434" s="68">
        <f t="shared" si="32"/>
        <v>2023.5</v>
      </c>
      <c r="N434" s="68">
        <f t="shared" si="33"/>
        <v>1140</v>
      </c>
      <c r="O434" s="68">
        <f t="shared" si="34"/>
        <v>883.5</v>
      </c>
    </row>
    <row r="435" spans="1:15" x14ac:dyDescent="0.3">
      <c r="A435" s="67" t="s">
        <v>529</v>
      </c>
      <c r="B435" s="70">
        <v>45539</v>
      </c>
      <c r="C435" s="67">
        <f t="shared" si="30"/>
        <v>2024</v>
      </c>
      <c r="D435" s="67" t="str">
        <f t="shared" si="31"/>
        <v>09 Sep</v>
      </c>
      <c r="E435" s="67" t="s">
        <v>36</v>
      </c>
      <c r="F435" s="67" t="s">
        <v>71</v>
      </c>
      <c r="G435" s="67" t="s">
        <v>55</v>
      </c>
      <c r="H435" s="67" t="s">
        <v>114</v>
      </c>
      <c r="I435" s="71">
        <v>19</v>
      </c>
      <c r="J435" s="72">
        <v>430</v>
      </c>
      <c r="K435" s="73">
        <v>0.05</v>
      </c>
      <c r="L435" s="72">
        <v>250</v>
      </c>
      <c r="M435" s="68">
        <f t="shared" si="32"/>
        <v>7761.5</v>
      </c>
      <c r="N435" s="68">
        <f t="shared" si="33"/>
        <v>4750</v>
      </c>
      <c r="O435" s="68">
        <f t="shared" si="34"/>
        <v>3011.5</v>
      </c>
    </row>
    <row r="436" spans="1:15" x14ac:dyDescent="0.3">
      <c r="A436" s="67" t="s">
        <v>530</v>
      </c>
      <c r="B436" s="70">
        <v>45542</v>
      </c>
      <c r="C436" s="67">
        <f t="shared" si="30"/>
        <v>2024</v>
      </c>
      <c r="D436" s="67" t="str">
        <f t="shared" si="31"/>
        <v>09 Sep</v>
      </c>
      <c r="E436" s="67" t="s">
        <v>39</v>
      </c>
      <c r="F436" s="67" t="s">
        <v>69</v>
      </c>
      <c r="G436" s="67" t="s">
        <v>50</v>
      </c>
      <c r="H436" s="67" t="s">
        <v>100</v>
      </c>
      <c r="I436" s="71">
        <v>2</v>
      </c>
      <c r="J436" s="72">
        <v>53500</v>
      </c>
      <c r="K436" s="73">
        <v>0.05</v>
      </c>
      <c r="L436" s="72">
        <v>42000</v>
      </c>
      <c r="M436" s="68">
        <f t="shared" si="32"/>
        <v>101650</v>
      </c>
      <c r="N436" s="68">
        <f t="shared" si="33"/>
        <v>84000</v>
      </c>
      <c r="O436" s="68">
        <f t="shared" si="34"/>
        <v>17650</v>
      </c>
    </row>
    <row r="437" spans="1:15" x14ac:dyDescent="0.3">
      <c r="A437" s="67" t="s">
        <v>531</v>
      </c>
      <c r="B437" s="70">
        <v>45543</v>
      </c>
      <c r="C437" s="67">
        <f t="shared" si="30"/>
        <v>2024</v>
      </c>
      <c r="D437" s="67" t="str">
        <f t="shared" si="31"/>
        <v>09 Sep</v>
      </c>
      <c r="E437" s="67" t="s">
        <v>48</v>
      </c>
      <c r="F437" s="67" t="s">
        <v>69</v>
      </c>
      <c r="G437" s="67" t="s">
        <v>68</v>
      </c>
      <c r="H437" s="67" t="s">
        <v>95</v>
      </c>
      <c r="I437" s="71">
        <v>2</v>
      </c>
      <c r="J437" s="72">
        <v>3650</v>
      </c>
      <c r="K437" s="73">
        <v>0</v>
      </c>
      <c r="L437" s="72">
        <v>2000</v>
      </c>
      <c r="M437" s="68">
        <f t="shared" si="32"/>
        <v>7300</v>
      </c>
      <c r="N437" s="68">
        <f t="shared" si="33"/>
        <v>4000</v>
      </c>
      <c r="O437" s="68">
        <f t="shared" si="34"/>
        <v>3300</v>
      </c>
    </row>
    <row r="438" spans="1:15" x14ac:dyDescent="0.3">
      <c r="A438" s="67" t="s">
        <v>532</v>
      </c>
      <c r="B438" s="70">
        <v>45543</v>
      </c>
      <c r="C438" s="67">
        <f t="shared" si="30"/>
        <v>2024</v>
      </c>
      <c r="D438" s="67" t="str">
        <f t="shared" si="31"/>
        <v>09 Sep</v>
      </c>
      <c r="E438" s="67" t="s">
        <v>48</v>
      </c>
      <c r="F438" s="67" t="s">
        <v>69</v>
      </c>
      <c r="G438" s="67" t="s">
        <v>50</v>
      </c>
      <c r="H438" s="67" t="s">
        <v>95</v>
      </c>
      <c r="I438" s="71">
        <v>1</v>
      </c>
      <c r="J438" s="72">
        <v>57160</v>
      </c>
      <c r="K438" s="73">
        <v>0</v>
      </c>
      <c r="L438" s="72">
        <v>42000</v>
      </c>
      <c r="M438" s="68">
        <f t="shared" si="32"/>
        <v>57160</v>
      </c>
      <c r="N438" s="68">
        <f t="shared" si="33"/>
        <v>42000</v>
      </c>
      <c r="O438" s="68">
        <f t="shared" si="34"/>
        <v>15160</v>
      </c>
    </row>
    <row r="439" spans="1:15" x14ac:dyDescent="0.3">
      <c r="A439" s="67" t="s">
        <v>533</v>
      </c>
      <c r="B439" s="70">
        <v>45544</v>
      </c>
      <c r="C439" s="67">
        <f t="shared" si="30"/>
        <v>2024</v>
      </c>
      <c r="D439" s="67" t="str">
        <f t="shared" si="31"/>
        <v>09 Sep</v>
      </c>
      <c r="E439" s="67" t="s">
        <v>39</v>
      </c>
      <c r="F439" s="67" t="s">
        <v>69</v>
      </c>
      <c r="G439" s="67" t="s">
        <v>68</v>
      </c>
      <c r="H439" s="67" t="s">
        <v>100</v>
      </c>
      <c r="I439" s="71">
        <v>4</v>
      </c>
      <c r="J439" s="72">
        <v>3520</v>
      </c>
      <c r="K439" s="73">
        <v>0.05</v>
      </c>
      <c r="L439" s="72">
        <v>2000</v>
      </c>
      <c r="M439" s="68">
        <f t="shared" si="32"/>
        <v>13376</v>
      </c>
      <c r="N439" s="68">
        <f t="shared" si="33"/>
        <v>8000</v>
      </c>
      <c r="O439" s="68">
        <f t="shared" si="34"/>
        <v>5376</v>
      </c>
    </row>
    <row r="440" spans="1:15" x14ac:dyDescent="0.3">
      <c r="A440" s="67" t="s">
        <v>534</v>
      </c>
      <c r="B440" s="70">
        <v>45545</v>
      </c>
      <c r="C440" s="67">
        <f t="shared" si="30"/>
        <v>2024</v>
      </c>
      <c r="D440" s="67" t="str">
        <f t="shared" si="31"/>
        <v>09 Sep</v>
      </c>
      <c r="E440" s="67" t="s">
        <v>39</v>
      </c>
      <c r="F440" s="67" t="s">
        <v>70</v>
      </c>
      <c r="G440" s="67" t="s">
        <v>62</v>
      </c>
      <c r="H440" s="67" t="s">
        <v>107</v>
      </c>
      <c r="I440" s="71">
        <v>3</v>
      </c>
      <c r="J440" s="72">
        <v>18270</v>
      </c>
      <c r="K440" s="73">
        <v>0</v>
      </c>
      <c r="L440" s="72">
        <v>12500</v>
      </c>
      <c r="M440" s="68">
        <f t="shared" si="32"/>
        <v>54810</v>
      </c>
      <c r="N440" s="68">
        <f t="shared" si="33"/>
        <v>37500</v>
      </c>
      <c r="O440" s="68">
        <f t="shared" si="34"/>
        <v>17310</v>
      </c>
    </row>
    <row r="441" spans="1:15" x14ac:dyDescent="0.3">
      <c r="A441" s="67" t="s">
        <v>535</v>
      </c>
      <c r="B441" s="70">
        <v>45547</v>
      </c>
      <c r="C441" s="67">
        <f t="shared" si="30"/>
        <v>2024</v>
      </c>
      <c r="D441" s="67" t="str">
        <f t="shared" si="31"/>
        <v>09 Sep</v>
      </c>
      <c r="E441" s="67" t="s">
        <v>39</v>
      </c>
      <c r="F441" s="67" t="s">
        <v>66</v>
      </c>
      <c r="G441" s="67" t="s">
        <v>53</v>
      </c>
      <c r="H441" s="67" t="s">
        <v>107</v>
      </c>
      <c r="I441" s="71">
        <v>1</v>
      </c>
      <c r="J441" s="72">
        <v>10740</v>
      </c>
      <c r="K441" s="73">
        <v>0.1</v>
      </c>
      <c r="L441" s="72">
        <v>8000</v>
      </c>
      <c r="M441" s="68">
        <f t="shared" si="32"/>
        <v>9666</v>
      </c>
      <c r="N441" s="68">
        <f t="shared" si="33"/>
        <v>8000</v>
      </c>
      <c r="O441" s="68">
        <f t="shared" si="34"/>
        <v>1666</v>
      </c>
    </row>
    <row r="442" spans="1:15" x14ac:dyDescent="0.3">
      <c r="A442" s="67" t="s">
        <v>536</v>
      </c>
      <c r="B442" s="70">
        <v>45548</v>
      </c>
      <c r="C442" s="67">
        <f t="shared" si="30"/>
        <v>2024</v>
      </c>
      <c r="D442" s="67" t="str">
        <f t="shared" si="31"/>
        <v>09 Sep</v>
      </c>
      <c r="E442" s="67" t="s">
        <v>36</v>
      </c>
      <c r="F442" s="67" t="s">
        <v>70</v>
      </c>
      <c r="G442" s="67" t="s">
        <v>58</v>
      </c>
      <c r="H442" s="67" t="s">
        <v>114</v>
      </c>
      <c r="I442" s="71">
        <v>2</v>
      </c>
      <c r="J442" s="72">
        <v>8940</v>
      </c>
      <c r="K442" s="73">
        <v>0.1</v>
      </c>
      <c r="L442" s="72">
        <v>6000</v>
      </c>
      <c r="M442" s="68">
        <f t="shared" si="32"/>
        <v>16092</v>
      </c>
      <c r="N442" s="68">
        <f t="shared" si="33"/>
        <v>12000</v>
      </c>
      <c r="O442" s="68">
        <f t="shared" si="34"/>
        <v>4092</v>
      </c>
    </row>
    <row r="443" spans="1:15" x14ac:dyDescent="0.3">
      <c r="A443" s="67" t="s">
        <v>537</v>
      </c>
      <c r="B443" s="70">
        <v>45549</v>
      </c>
      <c r="C443" s="67">
        <f t="shared" si="30"/>
        <v>2024</v>
      </c>
      <c r="D443" s="67" t="str">
        <f t="shared" si="31"/>
        <v>09 Sep</v>
      </c>
      <c r="E443" s="67" t="s">
        <v>48</v>
      </c>
      <c r="F443" s="67" t="s">
        <v>71</v>
      </c>
      <c r="G443" s="67" t="s">
        <v>47</v>
      </c>
      <c r="H443" s="67" t="s">
        <v>98</v>
      </c>
      <c r="I443" s="71">
        <v>46</v>
      </c>
      <c r="J443" s="72">
        <v>290</v>
      </c>
      <c r="K443" s="73">
        <v>0.1</v>
      </c>
      <c r="L443" s="72">
        <v>160</v>
      </c>
      <c r="M443" s="68">
        <f t="shared" si="32"/>
        <v>12006</v>
      </c>
      <c r="N443" s="68">
        <f t="shared" si="33"/>
        <v>7360</v>
      </c>
      <c r="O443" s="68">
        <f t="shared" si="34"/>
        <v>4646</v>
      </c>
    </row>
    <row r="444" spans="1:15" x14ac:dyDescent="0.3">
      <c r="A444" s="67" t="s">
        <v>538</v>
      </c>
      <c r="B444" s="70">
        <v>45551</v>
      </c>
      <c r="C444" s="67">
        <f t="shared" si="30"/>
        <v>2024</v>
      </c>
      <c r="D444" s="67" t="str">
        <f t="shared" si="31"/>
        <v>09 Sep</v>
      </c>
      <c r="E444" s="67" t="s">
        <v>48</v>
      </c>
      <c r="F444" s="67" t="s">
        <v>66</v>
      </c>
      <c r="G444" s="67" t="s">
        <v>53</v>
      </c>
      <c r="H444" s="67" t="s">
        <v>95</v>
      </c>
      <c r="I444" s="71">
        <v>1</v>
      </c>
      <c r="J444" s="72">
        <v>10460</v>
      </c>
      <c r="K444" s="73">
        <v>0.05</v>
      </c>
      <c r="L444" s="72">
        <v>8000</v>
      </c>
      <c r="M444" s="68">
        <f t="shared" si="32"/>
        <v>9937</v>
      </c>
      <c r="N444" s="68">
        <f t="shared" si="33"/>
        <v>8000</v>
      </c>
      <c r="O444" s="68">
        <f t="shared" si="34"/>
        <v>1937</v>
      </c>
    </row>
    <row r="445" spans="1:15" x14ac:dyDescent="0.3">
      <c r="A445" s="67" t="s">
        <v>539</v>
      </c>
      <c r="B445" s="70">
        <v>45551</v>
      </c>
      <c r="C445" s="67">
        <f t="shared" si="30"/>
        <v>2024</v>
      </c>
      <c r="D445" s="67" t="str">
        <f t="shared" si="31"/>
        <v>09 Sep</v>
      </c>
      <c r="E445" s="67" t="s">
        <v>39</v>
      </c>
      <c r="F445" s="67" t="s">
        <v>71</v>
      </c>
      <c r="G445" s="67" t="s">
        <v>55</v>
      </c>
      <c r="H445" s="67" t="s">
        <v>107</v>
      </c>
      <c r="I445" s="71">
        <v>20</v>
      </c>
      <c r="J445" s="72">
        <v>450</v>
      </c>
      <c r="K445" s="73">
        <v>0</v>
      </c>
      <c r="L445" s="72">
        <v>250</v>
      </c>
      <c r="M445" s="68">
        <f t="shared" si="32"/>
        <v>9000</v>
      </c>
      <c r="N445" s="68">
        <f t="shared" si="33"/>
        <v>5000</v>
      </c>
      <c r="O445" s="68">
        <f t="shared" si="34"/>
        <v>4000</v>
      </c>
    </row>
    <row r="446" spans="1:15" x14ac:dyDescent="0.3">
      <c r="A446" s="67" t="s">
        <v>540</v>
      </c>
      <c r="B446" s="70">
        <v>45552</v>
      </c>
      <c r="C446" s="67">
        <f t="shared" si="30"/>
        <v>2024</v>
      </c>
      <c r="D446" s="67" t="str">
        <f t="shared" si="31"/>
        <v>09 Sep</v>
      </c>
      <c r="E446" s="67" t="s">
        <v>36</v>
      </c>
      <c r="F446" s="67" t="s">
        <v>71</v>
      </c>
      <c r="G446" s="67" t="s">
        <v>44</v>
      </c>
      <c r="H446" s="67" t="s">
        <v>114</v>
      </c>
      <c r="I446" s="71">
        <v>19</v>
      </c>
      <c r="J446" s="72">
        <v>710</v>
      </c>
      <c r="K446" s="73">
        <v>0.15</v>
      </c>
      <c r="L446" s="72">
        <v>380</v>
      </c>
      <c r="M446" s="68">
        <f t="shared" si="32"/>
        <v>11466.5</v>
      </c>
      <c r="N446" s="68">
        <f t="shared" si="33"/>
        <v>7220</v>
      </c>
      <c r="O446" s="68">
        <f t="shared" si="34"/>
        <v>4246.5</v>
      </c>
    </row>
    <row r="447" spans="1:15" x14ac:dyDescent="0.3">
      <c r="A447" s="67" t="s">
        <v>541</v>
      </c>
      <c r="B447" s="70">
        <v>45554</v>
      </c>
      <c r="C447" s="67">
        <f t="shared" si="30"/>
        <v>2024</v>
      </c>
      <c r="D447" s="67" t="str">
        <f t="shared" si="31"/>
        <v>09 Sep</v>
      </c>
      <c r="E447" s="67" t="s">
        <v>48</v>
      </c>
      <c r="F447" s="67" t="s">
        <v>70</v>
      </c>
      <c r="G447" s="67" t="s">
        <v>41</v>
      </c>
      <c r="H447" s="67" t="s">
        <v>98</v>
      </c>
      <c r="I447" s="71">
        <v>4</v>
      </c>
      <c r="J447" s="72">
        <v>6220</v>
      </c>
      <c r="K447" s="73">
        <v>0</v>
      </c>
      <c r="L447" s="72">
        <v>4200</v>
      </c>
      <c r="M447" s="68">
        <f t="shared" si="32"/>
        <v>24880</v>
      </c>
      <c r="N447" s="68">
        <f t="shared" si="33"/>
        <v>16800</v>
      </c>
      <c r="O447" s="68">
        <f t="shared" si="34"/>
        <v>8080</v>
      </c>
    </row>
    <row r="448" spans="1:15" x14ac:dyDescent="0.3">
      <c r="A448" s="67" t="s">
        <v>542</v>
      </c>
      <c r="B448" s="70">
        <v>45556</v>
      </c>
      <c r="C448" s="67">
        <f t="shared" si="30"/>
        <v>2024</v>
      </c>
      <c r="D448" s="67" t="str">
        <f t="shared" si="31"/>
        <v>09 Sep</v>
      </c>
      <c r="E448" s="67" t="s">
        <v>42</v>
      </c>
      <c r="F448" s="67" t="s">
        <v>71</v>
      </c>
      <c r="G448" s="67" t="s">
        <v>55</v>
      </c>
      <c r="H448" s="67" t="s">
        <v>89</v>
      </c>
      <c r="I448" s="71">
        <v>33</v>
      </c>
      <c r="J448" s="72">
        <v>460</v>
      </c>
      <c r="K448" s="73">
        <v>0.05</v>
      </c>
      <c r="L448" s="72">
        <v>250</v>
      </c>
      <c r="M448" s="68">
        <f t="shared" si="32"/>
        <v>14421</v>
      </c>
      <c r="N448" s="68">
        <f t="shared" si="33"/>
        <v>8250</v>
      </c>
      <c r="O448" s="68">
        <f t="shared" si="34"/>
        <v>6171</v>
      </c>
    </row>
    <row r="449" spans="1:15" x14ac:dyDescent="0.3">
      <c r="A449" s="67" t="s">
        <v>543</v>
      </c>
      <c r="B449" s="70">
        <v>45556</v>
      </c>
      <c r="C449" s="67">
        <f t="shared" si="30"/>
        <v>2024</v>
      </c>
      <c r="D449" s="67" t="str">
        <f t="shared" si="31"/>
        <v>09 Sep</v>
      </c>
      <c r="E449" s="67" t="s">
        <v>48</v>
      </c>
      <c r="F449" s="67" t="s">
        <v>66</v>
      </c>
      <c r="G449" s="67" t="s">
        <v>53</v>
      </c>
      <c r="H449" s="67" t="s">
        <v>95</v>
      </c>
      <c r="I449" s="71">
        <v>2</v>
      </c>
      <c r="J449" s="72">
        <v>11030</v>
      </c>
      <c r="K449" s="73">
        <v>0</v>
      </c>
      <c r="L449" s="72">
        <v>8000</v>
      </c>
      <c r="M449" s="68">
        <f t="shared" si="32"/>
        <v>22060</v>
      </c>
      <c r="N449" s="68">
        <f t="shared" si="33"/>
        <v>16000</v>
      </c>
      <c r="O449" s="68">
        <f t="shared" si="34"/>
        <v>6060</v>
      </c>
    </row>
    <row r="450" spans="1:15" x14ac:dyDescent="0.3">
      <c r="A450" s="67" t="s">
        <v>544</v>
      </c>
      <c r="B450" s="70">
        <v>45557</v>
      </c>
      <c r="C450" s="67">
        <f t="shared" ref="C450:C513" si="35">YEAR(B450)</f>
        <v>2024</v>
      </c>
      <c r="D450" s="67" t="str">
        <f t="shared" ref="D450:D513" si="36">CHOOSE(MONTH(B450),"01 Jan","02 Feb","03 Mar","04 Apr","05 May","06 Jun","07 Jul","08 Aug","09 Sep","10 Oct","11 Nov","12 Dec")</f>
        <v>09 Sep</v>
      </c>
      <c r="E450" s="67" t="s">
        <v>39</v>
      </c>
      <c r="F450" s="67" t="s">
        <v>71</v>
      </c>
      <c r="G450" s="67" t="s">
        <v>55</v>
      </c>
      <c r="H450" s="67" t="s">
        <v>100</v>
      </c>
      <c r="I450" s="71">
        <v>21</v>
      </c>
      <c r="J450" s="72">
        <v>430</v>
      </c>
      <c r="K450" s="73">
        <v>0</v>
      </c>
      <c r="L450" s="72">
        <v>250</v>
      </c>
      <c r="M450" s="68">
        <f t="shared" ref="M450:M513" si="37">I450*J450*(1-K450)</f>
        <v>9030</v>
      </c>
      <c r="N450" s="68">
        <f t="shared" ref="N450:N513" si="38">I450*L450</f>
        <v>5250</v>
      </c>
      <c r="O450" s="68">
        <f t="shared" ref="O450:O513" si="39">M450-N450</f>
        <v>3780</v>
      </c>
    </row>
    <row r="451" spans="1:15" x14ac:dyDescent="0.3">
      <c r="A451" s="67" t="s">
        <v>545</v>
      </c>
      <c r="B451" s="70">
        <v>45557</v>
      </c>
      <c r="C451" s="67">
        <f t="shared" si="35"/>
        <v>2024</v>
      </c>
      <c r="D451" s="67" t="str">
        <f t="shared" si="36"/>
        <v>09 Sep</v>
      </c>
      <c r="E451" s="67" t="s">
        <v>48</v>
      </c>
      <c r="F451" s="67" t="s">
        <v>66</v>
      </c>
      <c r="G451" s="67" t="s">
        <v>38</v>
      </c>
      <c r="H451" s="67" t="s">
        <v>95</v>
      </c>
      <c r="I451" s="71">
        <v>1</v>
      </c>
      <c r="J451" s="72">
        <v>14700</v>
      </c>
      <c r="K451" s="73">
        <v>0.05</v>
      </c>
      <c r="L451" s="72">
        <v>9500</v>
      </c>
      <c r="M451" s="68">
        <f t="shared" si="37"/>
        <v>13965</v>
      </c>
      <c r="N451" s="68">
        <f t="shared" si="38"/>
        <v>9500</v>
      </c>
      <c r="O451" s="68">
        <f t="shared" si="39"/>
        <v>4465</v>
      </c>
    </row>
    <row r="452" spans="1:15" x14ac:dyDescent="0.3">
      <c r="A452" s="67" t="s">
        <v>546</v>
      </c>
      <c r="B452" s="70">
        <v>45557</v>
      </c>
      <c r="C452" s="67">
        <f t="shared" si="35"/>
        <v>2024</v>
      </c>
      <c r="D452" s="67" t="str">
        <f t="shared" si="36"/>
        <v>09 Sep</v>
      </c>
      <c r="E452" s="67" t="s">
        <v>48</v>
      </c>
      <c r="F452" s="67" t="s">
        <v>69</v>
      </c>
      <c r="G452" s="67" t="s">
        <v>68</v>
      </c>
      <c r="H452" s="67" t="s">
        <v>98</v>
      </c>
      <c r="I452" s="71">
        <v>5</v>
      </c>
      <c r="J452" s="72">
        <v>3590</v>
      </c>
      <c r="K452" s="73">
        <v>0</v>
      </c>
      <c r="L452" s="72">
        <v>2000</v>
      </c>
      <c r="M452" s="68">
        <f t="shared" si="37"/>
        <v>17950</v>
      </c>
      <c r="N452" s="68">
        <f t="shared" si="38"/>
        <v>10000</v>
      </c>
      <c r="O452" s="68">
        <f t="shared" si="39"/>
        <v>7950</v>
      </c>
    </row>
    <row r="453" spans="1:15" x14ac:dyDescent="0.3">
      <c r="A453" s="67" t="s">
        <v>547</v>
      </c>
      <c r="B453" s="70">
        <v>45558</v>
      </c>
      <c r="C453" s="67">
        <f t="shared" si="35"/>
        <v>2024</v>
      </c>
      <c r="D453" s="67" t="str">
        <f t="shared" si="36"/>
        <v>09 Sep</v>
      </c>
      <c r="E453" s="67" t="s">
        <v>42</v>
      </c>
      <c r="F453" s="67" t="s">
        <v>70</v>
      </c>
      <c r="G453" s="67" t="s">
        <v>41</v>
      </c>
      <c r="H453" s="67" t="s">
        <v>112</v>
      </c>
      <c r="I453" s="71">
        <v>4</v>
      </c>
      <c r="J453" s="72">
        <v>6430</v>
      </c>
      <c r="K453" s="73">
        <v>0.15</v>
      </c>
      <c r="L453" s="72">
        <v>4200</v>
      </c>
      <c r="M453" s="68">
        <f t="shared" si="37"/>
        <v>21862</v>
      </c>
      <c r="N453" s="68">
        <f t="shared" si="38"/>
        <v>16800</v>
      </c>
      <c r="O453" s="68">
        <f t="shared" si="39"/>
        <v>5062</v>
      </c>
    </row>
    <row r="454" spans="1:15" x14ac:dyDescent="0.3">
      <c r="A454" s="67" t="s">
        <v>548</v>
      </c>
      <c r="B454" s="70">
        <v>45559</v>
      </c>
      <c r="C454" s="67">
        <f t="shared" si="35"/>
        <v>2024</v>
      </c>
      <c r="D454" s="67" t="str">
        <f t="shared" si="36"/>
        <v>09 Sep</v>
      </c>
      <c r="E454" s="67" t="s">
        <v>48</v>
      </c>
      <c r="F454" s="67" t="s">
        <v>69</v>
      </c>
      <c r="G454" s="67" t="s">
        <v>60</v>
      </c>
      <c r="H454" s="67" t="s">
        <v>98</v>
      </c>
      <c r="I454" s="71">
        <v>1</v>
      </c>
      <c r="J454" s="72">
        <v>24590</v>
      </c>
      <c r="K454" s="73">
        <v>0</v>
      </c>
      <c r="L454" s="72">
        <v>18000</v>
      </c>
      <c r="M454" s="68">
        <f t="shared" si="37"/>
        <v>24590</v>
      </c>
      <c r="N454" s="68">
        <f t="shared" si="38"/>
        <v>18000</v>
      </c>
      <c r="O454" s="68">
        <f t="shared" si="39"/>
        <v>6590</v>
      </c>
    </row>
    <row r="455" spans="1:15" x14ac:dyDescent="0.3">
      <c r="A455" s="67" t="s">
        <v>549</v>
      </c>
      <c r="B455" s="70">
        <v>45560</v>
      </c>
      <c r="C455" s="67">
        <f t="shared" si="35"/>
        <v>2024</v>
      </c>
      <c r="D455" s="67" t="str">
        <f t="shared" si="36"/>
        <v>09 Sep</v>
      </c>
      <c r="E455" s="67" t="s">
        <v>48</v>
      </c>
      <c r="F455" s="67" t="s">
        <v>71</v>
      </c>
      <c r="G455" s="67" t="s">
        <v>55</v>
      </c>
      <c r="H455" s="67" t="s">
        <v>98</v>
      </c>
      <c r="I455" s="71">
        <v>6</v>
      </c>
      <c r="J455" s="72">
        <v>460</v>
      </c>
      <c r="K455" s="73">
        <v>0</v>
      </c>
      <c r="L455" s="72">
        <v>250</v>
      </c>
      <c r="M455" s="68">
        <f t="shared" si="37"/>
        <v>2760</v>
      </c>
      <c r="N455" s="68">
        <f t="shared" si="38"/>
        <v>1500</v>
      </c>
      <c r="O455" s="68">
        <f t="shared" si="39"/>
        <v>1260</v>
      </c>
    </row>
    <row r="456" spans="1:15" x14ac:dyDescent="0.3">
      <c r="A456" s="67" t="s">
        <v>550</v>
      </c>
      <c r="B456" s="70">
        <v>45561</v>
      </c>
      <c r="C456" s="67">
        <f t="shared" si="35"/>
        <v>2024</v>
      </c>
      <c r="D456" s="67" t="str">
        <f t="shared" si="36"/>
        <v>09 Sep</v>
      </c>
      <c r="E456" s="67" t="s">
        <v>36</v>
      </c>
      <c r="F456" s="67" t="s">
        <v>71</v>
      </c>
      <c r="G456" s="67" t="s">
        <v>47</v>
      </c>
      <c r="H456" s="67" t="s">
        <v>91</v>
      </c>
      <c r="I456" s="71">
        <v>49</v>
      </c>
      <c r="J456" s="72">
        <v>310</v>
      </c>
      <c r="K456" s="73">
        <v>0</v>
      </c>
      <c r="L456" s="72">
        <v>160</v>
      </c>
      <c r="M456" s="68">
        <f t="shared" si="37"/>
        <v>15190</v>
      </c>
      <c r="N456" s="68">
        <f t="shared" si="38"/>
        <v>7840</v>
      </c>
      <c r="O456" s="68">
        <f t="shared" si="39"/>
        <v>7350</v>
      </c>
    </row>
    <row r="457" spans="1:15" x14ac:dyDescent="0.3">
      <c r="A457" s="67" t="s">
        <v>551</v>
      </c>
      <c r="B457" s="70">
        <v>45566</v>
      </c>
      <c r="C457" s="67">
        <f t="shared" si="35"/>
        <v>2024</v>
      </c>
      <c r="D457" s="67" t="str">
        <f t="shared" si="36"/>
        <v>10 Oct</v>
      </c>
      <c r="E457" s="67" t="s">
        <v>45</v>
      </c>
      <c r="F457" s="67" t="s">
        <v>69</v>
      </c>
      <c r="G457" s="67" t="s">
        <v>60</v>
      </c>
      <c r="H457" s="67" t="s">
        <v>87</v>
      </c>
      <c r="I457" s="71">
        <v>2</v>
      </c>
      <c r="J457" s="72">
        <v>23270</v>
      </c>
      <c r="K457" s="73">
        <v>0.1</v>
      </c>
      <c r="L457" s="72">
        <v>18000</v>
      </c>
      <c r="M457" s="68">
        <f t="shared" si="37"/>
        <v>41886</v>
      </c>
      <c r="N457" s="68">
        <f t="shared" si="38"/>
        <v>36000</v>
      </c>
      <c r="O457" s="68">
        <f t="shared" si="39"/>
        <v>5886</v>
      </c>
    </row>
    <row r="458" spans="1:15" x14ac:dyDescent="0.3">
      <c r="A458" s="67" t="s">
        <v>552</v>
      </c>
      <c r="B458" s="70">
        <v>45566</v>
      </c>
      <c r="C458" s="67">
        <f t="shared" si="35"/>
        <v>2024</v>
      </c>
      <c r="D458" s="67" t="str">
        <f t="shared" si="36"/>
        <v>10 Oct</v>
      </c>
      <c r="E458" s="67" t="s">
        <v>42</v>
      </c>
      <c r="F458" s="67" t="s">
        <v>71</v>
      </c>
      <c r="G458" s="67" t="s">
        <v>47</v>
      </c>
      <c r="H458" s="67" t="s">
        <v>112</v>
      </c>
      <c r="I458" s="71">
        <v>31</v>
      </c>
      <c r="J458" s="72">
        <v>310</v>
      </c>
      <c r="K458" s="73">
        <v>0</v>
      </c>
      <c r="L458" s="72">
        <v>160</v>
      </c>
      <c r="M458" s="68">
        <f t="shared" si="37"/>
        <v>9610</v>
      </c>
      <c r="N458" s="68">
        <f t="shared" si="38"/>
        <v>4960</v>
      </c>
      <c r="O458" s="68">
        <f t="shared" si="39"/>
        <v>4650</v>
      </c>
    </row>
    <row r="459" spans="1:15" x14ac:dyDescent="0.3">
      <c r="A459" s="67" t="s">
        <v>553</v>
      </c>
      <c r="B459" s="70">
        <v>45568</v>
      </c>
      <c r="C459" s="67">
        <f t="shared" si="35"/>
        <v>2024</v>
      </c>
      <c r="D459" s="67" t="str">
        <f t="shared" si="36"/>
        <v>10 Oct</v>
      </c>
      <c r="E459" s="67" t="s">
        <v>42</v>
      </c>
      <c r="F459" s="67" t="s">
        <v>71</v>
      </c>
      <c r="G459" s="67" t="s">
        <v>55</v>
      </c>
      <c r="H459" s="67" t="s">
        <v>112</v>
      </c>
      <c r="I459" s="71">
        <v>34</v>
      </c>
      <c r="J459" s="72">
        <v>470</v>
      </c>
      <c r="K459" s="73">
        <v>0.15</v>
      </c>
      <c r="L459" s="72">
        <v>250</v>
      </c>
      <c r="M459" s="68">
        <f t="shared" si="37"/>
        <v>13583</v>
      </c>
      <c r="N459" s="68">
        <f t="shared" si="38"/>
        <v>8500</v>
      </c>
      <c r="O459" s="68">
        <f t="shared" si="39"/>
        <v>5083</v>
      </c>
    </row>
    <row r="460" spans="1:15" x14ac:dyDescent="0.3">
      <c r="A460" s="67" t="s">
        <v>554</v>
      </c>
      <c r="B460" s="70">
        <v>45568</v>
      </c>
      <c r="C460" s="67">
        <f t="shared" si="35"/>
        <v>2024</v>
      </c>
      <c r="D460" s="67" t="str">
        <f t="shared" si="36"/>
        <v>10 Oct</v>
      </c>
      <c r="E460" s="67" t="s">
        <v>45</v>
      </c>
      <c r="F460" s="67" t="s">
        <v>71</v>
      </c>
      <c r="G460" s="67" t="s">
        <v>44</v>
      </c>
      <c r="H460" s="67" t="s">
        <v>93</v>
      </c>
      <c r="I460" s="71">
        <v>10</v>
      </c>
      <c r="J460" s="72">
        <v>700</v>
      </c>
      <c r="K460" s="73">
        <v>0</v>
      </c>
      <c r="L460" s="72">
        <v>380</v>
      </c>
      <c r="M460" s="68">
        <f t="shared" si="37"/>
        <v>7000</v>
      </c>
      <c r="N460" s="68">
        <f t="shared" si="38"/>
        <v>3800</v>
      </c>
      <c r="O460" s="68">
        <f t="shared" si="39"/>
        <v>3200</v>
      </c>
    </row>
    <row r="461" spans="1:15" x14ac:dyDescent="0.3">
      <c r="A461" s="67" t="s">
        <v>555</v>
      </c>
      <c r="B461" s="70">
        <v>45568</v>
      </c>
      <c r="C461" s="67">
        <f t="shared" si="35"/>
        <v>2024</v>
      </c>
      <c r="D461" s="67" t="str">
        <f t="shared" si="36"/>
        <v>10 Oct</v>
      </c>
      <c r="E461" s="67" t="s">
        <v>48</v>
      </c>
      <c r="F461" s="67" t="s">
        <v>71</v>
      </c>
      <c r="G461" s="67" t="s">
        <v>47</v>
      </c>
      <c r="H461" s="67" t="s">
        <v>98</v>
      </c>
      <c r="I461" s="71">
        <v>50</v>
      </c>
      <c r="J461" s="72">
        <v>310</v>
      </c>
      <c r="K461" s="73">
        <v>0.15</v>
      </c>
      <c r="L461" s="72">
        <v>160</v>
      </c>
      <c r="M461" s="68">
        <f t="shared" si="37"/>
        <v>13175</v>
      </c>
      <c r="N461" s="68">
        <f t="shared" si="38"/>
        <v>8000</v>
      </c>
      <c r="O461" s="68">
        <f t="shared" si="39"/>
        <v>5175</v>
      </c>
    </row>
    <row r="462" spans="1:15" x14ac:dyDescent="0.3">
      <c r="A462" s="67" t="s">
        <v>556</v>
      </c>
      <c r="B462" s="70">
        <v>45570</v>
      </c>
      <c r="C462" s="67">
        <f t="shared" si="35"/>
        <v>2024</v>
      </c>
      <c r="D462" s="67" t="str">
        <f t="shared" si="36"/>
        <v>10 Oct</v>
      </c>
      <c r="E462" s="67" t="s">
        <v>36</v>
      </c>
      <c r="F462" s="67" t="s">
        <v>69</v>
      </c>
      <c r="G462" s="67" t="s">
        <v>68</v>
      </c>
      <c r="H462" s="67" t="s">
        <v>114</v>
      </c>
      <c r="I462" s="71">
        <v>3</v>
      </c>
      <c r="J462" s="72">
        <v>3550</v>
      </c>
      <c r="K462" s="73">
        <v>0</v>
      </c>
      <c r="L462" s="72">
        <v>2000</v>
      </c>
      <c r="M462" s="68">
        <f t="shared" si="37"/>
        <v>10650</v>
      </c>
      <c r="N462" s="68">
        <f t="shared" si="38"/>
        <v>6000</v>
      </c>
      <c r="O462" s="68">
        <f t="shared" si="39"/>
        <v>4650</v>
      </c>
    </row>
    <row r="463" spans="1:15" x14ac:dyDescent="0.3">
      <c r="A463" s="67" t="s">
        <v>557</v>
      </c>
      <c r="B463" s="70">
        <v>45571</v>
      </c>
      <c r="C463" s="67">
        <f t="shared" si="35"/>
        <v>2024</v>
      </c>
      <c r="D463" s="67" t="str">
        <f t="shared" si="36"/>
        <v>10 Oct</v>
      </c>
      <c r="E463" s="67" t="s">
        <v>48</v>
      </c>
      <c r="F463" s="67" t="s">
        <v>66</v>
      </c>
      <c r="G463" s="67" t="s">
        <v>38</v>
      </c>
      <c r="H463" s="67" t="s">
        <v>98</v>
      </c>
      <c r="I463" s="71">
        <v>1</v>
      </c>
      <c r="J463" s="72">
        <v>13460</v>
      </c>
      <c r="K463" s="73">
        <v>0.1</v>
      </c>
      <c r="L463" s="72">
        <v>9500</v>
      </c>
      <c r="M463" s="68">
        <f t="shared" si="37"/>
        <v>12114</v>
      </c>
      <c r="N463" s="68">
        <f t="shared" si="38"/>
        <v>9500</v>
      </c>
      <c r="O463" s="68">
        <f t="shared" si="39"/>
        <v>2614</v>
      </c>
    </row>
    <row r="464" spans="1:15" x14ac:dyDescent="0.3">
      <c r="A464" s="67" t="s">
        <v>558</v>
      </c>
      <c r="B464" s="70">
        <v>45573</v>
      </c>
      <c r="C464" s="67">
        <f t="shared" si="35"/>
        <v>2024</v>
      </c>
      <c r="D464" s="67" t="str">
        <f t="shared" si="36"/>
        <v>10 Oct</v>
      </c>
      <c r="E464" s="67" t="s">
        <v>45</v>
      </c>
      <c r="F464" s="67" t="s">
        <v>70</v>
      </c>
      <c r="G464" s="67" t="s">
        <v>41</v>
      </c>
      <c r="H464" s="67" t="s">
        <v>87</v>
      </c>
      <c r="I464" s="71">
        <v>1</v>
      </c>
      <c r="J464" s="72">
        <v>6690</v>
      </c>
      <c r="K464" s="73">
        <v>0</v>
      </c>
      <c r="L464" s="72">
        <v>4200</v>
      </c>
      <c r="M464" s="68">
        <f t="shared" si="37"/>
        <v>6690</v>
      </c>
      <c r="N464" s="68">
        <f t="shared" si="38"/>
        <v>4200</v>
      </c>
      <c r="O464" s="68">
        <f t="shared" si="39"/>
        <v>2490</v>
      </c>
    </row>
    <row r="465" spans="1:15" x14ac:dyDescent="0.3">
      <c r="A465" s="67" t="s">
        <v>559</v>
      </c>
      <c r="B465" s="70">
        <v>45574</v>
      </c>
      <c r="C465" s="67">
        <f t="shared" si="35"/>
        <v>2024</v>
      </c>
      <c r="D465" s="67" t="str">
        <f t="shared" si="36"/>
        <v>10 Oct</v>
      </c>
      <c r="E465" s="67" t="s">
        <v>45</v>
      </c>
      <c r="F465" s="67" t="s">
        <v>70</v>
      </c>
      <c r="G465" s="67" t="s">
        <v>62</v>
      </c>
      <c r="H465" s="67" t="s">
        <v>87</v>
      </c>
      <c r="I465" s="71">
        <v>1</v>
      </c>
      <c r="J465" s="72">
        <v>17800</v>
      </c>
      <c r="K465" s="73">
        <v>0.05</v>
      </c>
      <c r="L465" s="72">
        <v>12500</v>
      </c>
      <c r="M465" s="68">
        <f t="shared" si="37"/>
        <v>16910</v>
      </c>
      <c r="N465" s="68">
        <f t="shared" si="38"/>
        <v>12500</v>
      </c>
      <c r="O465" s="68">
        <f t="shared" si="39"/>
        <v>4410</v>
      </c>
    </row>
    <row r="466" spans="1:15" x14ac:dyDescent="0.3">
      <c r="A466" s="67" t="s">
        <v>560</v>
      </c>
      <c r="B466" s="70">
        <v>45575</v>
      </c>
      <c r="C466" s="67">
        <f t="shared" si="35"/>
        <v>2024</v>
      </c>
      <c r="D466" s="67" t="str">
        <f t="shared" si="36"/>
        <v>10 Oct</v>
      </c>
      <c r="E466" s="67" t="s">
        <v>45</v>
      </c>
      <c r="F466" s="67" t="s">
        <v>66</v>
      </c>
      <c r="G466" s="67" t="s">
        <v>53</v>
      </c>
      <c r="H466" s="67" t="s">
        <v>93</v>
      </c>
      <c r="I466" s="71">
        <v>2</v>
      </c>
      <c r="J466" s="72">
        <v>10640</v>
      </c>
      <c r="K466" s="73">
        <v>0</v>
      </c>
      <c r="L466" s="72">
        <v>8000</v>
      </c>
      <c r="M466" s="68">
        <f t="shared" si="37"/>
        <v>21280</v>
      </c>
      <c r="N466" s="68">
        <f t="shared" si="38"/>
        <v>16000</v>
      </c>
      <c r="O466" s="68">
        <f t="shared" si="39"/>
        <v>5280</v>
      </c>
    </row>
    <row r="467" spans="1:15" x14ac:dyDescent="0.3">
      <c r="A467" s="67" t="s">
        <v>561</v>
      </c>
      <c r="B467" s="70">
        <v>45576</v>
      </c>
      <c r="C467" s="67">
        <f t="shared" si="35"/>
        <v>2024</v>
      </c>
      <c r="D467" s="67" t="str">
        <f t="shared" si="36"/>
        <v>10 Oct</v>
      </c>
      <c r="E467" s="67" t="s">
        <v>36</v>
      </c>
      <c r="F467" s="67" t="s">
        <v>69</v>
      </c>
      <c r="G467" s="67" t="s">
        <v>60</v>
      </c>
      <c r="H467" s="67" t="s">
        <v>114</v>
      </c>
      <c r="I467" s="71">
        <v>3</v>
      </c>
      <c r="J467" s="72">
        <v>24450</v>
      </c>
      <c r="K467" s="73">
        <v>0</v>
      </c>
      <c r="L467" s="72">
        <v>18000</v>
      </c>
      <c r="M467" s="68">
        <f t="shared" si="37"/>
        <v>73350</v>
      </c>
      <c r="N467" s="68">
        <f t="shared" si="38"/>
        <v>54000</v>
      </c>
      <c r="O467" s="68">
        <f t="shared" si="39"/>
        <v>19350</v>
      </c>
    </row>
    <row r="468" spans="1:15" x14ac:dyDescent="0.3">
      <c r="A468" s="67" t="s">
        <v>562</v>
      </c>
      <c r="B468" s="70">
        <v>45577</v>
      </c>
      <c r="C468" s="67">
        <f t="shared" si="35"/>
        <v>2024</v>
      </c>
      <c r="D468" s="67" t="str">
        <f t="shared" si="36"/>
        <v>10 Oct</v>
      </c>
      <c r="E468" s="67" t="s">
        <v>36</v>
      </c>
      <c r="F468" s="67" t="s">
        <v>69</v>
      </c>
      <c r="G468" s="67" t="s">
        <v>50</v>
      </c>
      <c r="H468" s="67" t="s">
        <v>91</v>
      </c>
      <c r="I468" s="71">
        <v>1</v>
      </c>
      <c r="J468" s="72">
        <v>55660</v>
      </c>
      <c r="K468" s="73">
        <v>0.05</v>
      </c>
      <c r="L468" s="72">
        <v>42000</v>
      </c>
      <c r="M468" s="68">
        <f t="shared" si="37"/>
        <v>52877</v>
      </c>
      <c r="N468" s="68">
        <f t="shared" si="38"/>
        <v>42000</v>
      </c>
      <c r="O468" s="68">
        <f t="shared" si="39"/>
        <v>10877</v>
      </c>
    </row>
    <row r="469" spans="1:15" x14ac:dyDescent="0.3">
      <c r="A469" s="67" t="s">
        <v>563</v>
      </c>
      <c r="B469" s="70">
        <v>45579</v>
      </c>
      <c r="C469" s="67">
        <f t="shared" si="35"/>
        <v>2024</v>
      </c>
      <c r="D469" s="67" t="str">
        <f t="shared" si="36"/>
        <v>10 Oct</v>
      </c>
      <c r="E469" s="67" t="s">
        <v>45</v>
      </c>
      <c r="F469" s="67" t="s">
        <v>70</v>
      </c>
      <c r="G469" s="67" t="s">
        <v>41</v>
      </c>
      <c r="H469" s="67" t="s">
        <v>87</v>
      </c>
      <c r="I469" s="71">
        <v>4</v>
      </c>
      <c r="J469" s="72">
        <v>6790</v>
      </c>
      <c r="K469" s="73">
        <v>0.1</v>
      </c>
      <c r="L469" s="72">
        <v>4200</v>
      </c>
      <c r="M469" s="68">
        <f t="shared" si="37"/>
        <v>24444</v>
      </c>
      <c r="N469" s="68">
        <f t="shared" si="38"/>
        <v>16800</v>
      </c>
      <c r="O469" s="68">
        <f t="shared" si="39"/>
        <v>7644</v>
      </c>
    </row>
    <row r="470" spans="1:15" x14ac:dyDescent="0.3">
      <c r="A470" s="67" t="s">
        <v>564</v>
      </c>
      <c r="B470" s="70">
        <v>45580</v>
      </c>
      <c r="C470" s="67">
        <f t="shared" si="35"/>
        <v>2024</v>
      </c>
      <c r="D470" s="67" t="str">
        <f t="shared" si="36"/>
        <v>10 Oct</v>
      </c>
      <c r="E470" s="67" t="s">
        <v>36</v>
      </c>
      <c r="F470" s="67" t="s">
        <v>70</v>
      </c>
      <c r="G470" s="67" t="s">
        <v>41</v>
      </c>
      <c r="H470" s="67" t="s">
        <v>91</v>
      </c>
      <c r="I470" s="71">
        <v>4</v>
      </c>
      <c r="J470" s="72">
        <v>6470</v>
      </c>
      <c r="K470" s="73">
        <v>0</v>
      </c>
      <c r="L470" s="72">
        <v>4200</v>
      </c>
      <c r="M470" s="68">
        <f t="shared" si="37"/>
        <v>25880</v>
      </c>
      <c r="N470" s="68">
        <f t="shared" si="38"/>
        <v>16800</v>
      </c>
      <c r="O470" s="68">
        <f t="shared" si="39"/>
        <v>9080</v>
      </c>
    </row>
    <row r="471" spans="1:15" x14ac:dyDescent="0.3">
      <c r="A471" s="67" t="s">
        <v>565</v>
      </c>
      <c r="B471" s="70">
        <v>45581</v>
      </c>
      <c r="C471" s="67">
        <f t="shared" si="35"/>
        <v>2024</v>
      </c>
      <c r="D471" s="67" t="str">
        <f t="shared" si="36"/>
        <v>10 Oct</v>
      </c>
      <c r="E471" s="67" t="s">
        <v>48</v>
      </c>
      <c r="F471" s="67" t="s">
        <v>71</v>
      </c>
      <c r="G471" s="67" t="s">
        <v>44</v>
      </c>
      <c r="H471" s="67" t="s">
        <v>95</v>
      </c>
      <c r="I471" s="71">
        <v>20</v>
      </c>
      <c r="J471" s="72">
        <v>670</v>
      </c>
      <c r="K471" s="73">
        <v>0.05</v>
      </c>
      <c r="L471" s="72">
        <v>380</v>
      </c>
      <c r="M471" s="68">
        <f t="shared" si="37"/>
        <v>12730</v>
      </c>
      <c r="N471" s="68">
        <f t="shared" si="38"/>
        <v>7600</v>
      </c>
      <c r="O471" s="68">
        <f t="shared" si="39"/>
        <v>5130</v>
      </c>
    </row>
    <row r="472" spans="1:15" x14ac:dyDescent="0.3">
      <c r="A472" s="67" t="s">
        <v>566</v>
      </c>
      <c r="B472" s="70">
        <v>45582</v>
      </c>
      <c r="C472" s="67">
        <f t="shared" si="35"/>
        <v>2024</v>
      </c>
      <c r="D472" s="67" t="str">
        <f t="shared" si="36"/>
        <v>10 Oct</v>
      </c>
      <c r="E472" s="67" t="s">
        <v>48</v>
      </c>
      <c r="F472" s="67" t="s">
        <v>69</v>
      </c>
      <c r="G472" s="67" t="s">
        <v>60</v>
      </c>
      <c r="H472" s="67" t="s">
        <v>98</v>
      </c>
      <c r="I472" s="71">
        <v>3</v>
      </c>
      <c r="J472" s="72">
        <v>23610</v>
      </c>
      <c r="K472" s="73">
        <v>0</v>
      </c>
      <c r="L472" s="72">
        <v>18000</v>
      </c>
      <c r="M472" s="68">
        <f t="shared" si="37"/>
        <v>70830</v>
      </c>
      <c r="N472" s="68">
        <f t="shared" si="38"/>
        <v>54000</v>
      </c>
      <c r="O472" s="68">
        <f t="shared" si="39"/>
        <v>16830</v>
      </c>
    </row>
    <row r="473" spans="1:15" x14ac:dyDescent="0.3">
      <c r="A473" s="67" t="s">
        <v>567</v>
      </c>
      <c r="B473" s="70">
        <v>45582</v>
      </c>
      <c r="C473" s="67">
        <f t="shared" si="35"/>
        <v>2024</v>
      </c>
      <c r="D473" s="67" t="str">
        <f t="shared" si="36"/>
        <v>10 Oct</v>
      </c>
      <c r="E473" s="67" t="s">
        <v>42</v>
      </c>
      <c r="F473" s="67" t="s">
        <v>69</v>
      </c>
      <c r="G473" s="67" t="s">
        <v>60</v>
      </c>
      <c r="H473" s="67" t="s">
        <v>112</v>
      </c>
      <c r="I473" s="71">
        <v>2</v>
      </c>
      <c r="J473" s="72">
        <v>23120</v>
      </c>
      <c r="K473" s="73">
        <v>0.1</v>
      </c>
      <c r="L473" s="72">
        <v>18000</v>
      </c>
      <c r="M473" s="68">
        <f t="shared" si="37"/>
        <v>41616</v>
      </c>
      <c r="N473" s="68">
        <f t="shared" si="38"/>
        <v>36000</v>
      </c>
      <c r="O473" s="68">
        <f t="shared" si="39"/>
        <v>5616</v>
      </c>
    </row>
    <row r="474" spans="1:15" x14ac:dyDescent="0.3">
      <c r="A474" s="67" t="s">
        <v>568</v>
      </c>
      <c r="B474" s="70">
        <v>45584</v>
      </c>
      <c r="C474" s="67">
        <f t="shared" si="35"/>
        <v>2024</v>
      </c>
      <c r="D474" s="67" t="str">
        <f t="shared" si="36"/>
        <v>10 Oct</v>
      </c>
      <c r="E474" s="67" t="s">
        <v>39</v>
      </c>
      <c r="F474" s="67" t="s">
        <v>66</v>
      </c>
      <c r="G474" s="67" t="s">
        <v>53</v>
      </c>
      <c r="H474" s="67" t="s">
        <v>100</v>
      </c>
      <c r="I474" s="71">
        <v>1</v>
      </c>
      <c r="J474" s="72">
        <v>11490</v>
      </c>
      <c r="K474" s="73">
        <v>0.05</v>
      </c>
      <c r="L474" s="72">
        <v>8000</v>
      </c>
      <c r="M474" s="68">
        <f t="shared" si="37"/>
        <v>10915.5</v>
      </c>
      <c r="N474" s="68">
        <f t="shared" si="38"/>
        <v>8000</v>
      </c>
      <c r="O474" s="68">
        <f t="shared" si="39"/>
        <v>2915.5</v>
      </c>
    </row>
    <row r="475" spans="1:15" x14ac:dyDescent="0.3">
      <c r="A475" s="67" t="s">
        <v>569</v>
      </c>
      <c r="B475" s="70">
        <v>45585</v>
      </c>
      <c r="C475" s="67">
        <f t="shared" si="35"/>
        <v>2024</v>
      </c>
      <c r="D475" s="67" t="str">
        <f t="shared" si="36"/>
        <v>10 Oct</v>
      </c>
      <c r="E475" s="67" t="s">
        <v>45</v>
      </c>
      <c r="F475" s="67" t="s">
        <v>69</v>
      </c>
      <c r="G475" s="67" t="s">
        <v>60</v>
      </c>
      <c r="H475" s="67" t="s">
        <v>93</v>
      </c>
      <c r="I475" s="71">
        <v>2</v>
      </c>
      <c r="J475" s="72">
        <v>24350</v>
      </c>
      <c r="K475" s="73">
        <v>0</v>
      </c>
      <c r="L475" s="72">
        <v>18000</v>
      </c>
      <c r="M475" s="68">
        <f t="shared" si="37"/>
        <v>48700</v>
      </c>
      <c r="N475" s="68">
        <f t="shared" si="38"/>
        <v>36000</v>
      </c>
      <c r="O475" s="68">
        <f t="shared" si="39"/>
        <v>12700</v>
      </c>
    </row>
    <row r="476" spans="1:15" x14ac:dyDescent="0.3">
      <c r="A476" s="67" t="s">
        <v>570</v>
      </c>
      <c r="B476" s="70">
        <v>45586</v>
      </c>
      <c r="C476" s="67">
        <f t="shared" si="35"/>
        <v>2024</v>
      </c>
      <c r="D476" s="67" t="str">
        <f t="shared" si="36"/>
        <v>10 Oct</v>
      </c>
      <c r="E476" s="67" t="s">
        <v>42</v>
      </c>
      <c r="F476" s="67" t="s">
        <v>69</v>
      </c>
      <c r="G476" s="67" t="s">
        <v>50</v>
      </c>
      <c r="H476" s="67" t="s">
        <v>89</v>
      </c>
      <c r="I476" s="71">
        <v>2</v>
      </c>
      <c r="J476" s="72">
        <v>54620</v>
      </c>
      <c r="K476" s="73">
        <v>0</v>
      </c>
      <c r="L476" s="72">
        <v>42000</v>
      </c>
      <c r="M476" s="68">
        <f t="shared" si="37"/>
        <v>109240</v>
      </c>
      <c r="N476" s="68">
        <f t="shared" si="38"/>
        <v>84000</v>
      </c>
      <c r="O476" s="68">
        <f t="shared" si="39"/>
        <v>25240</v>
      </c>
    </row>
    <row r="477" spans="1:15" x14ac:dyDescent="0.3">
      <c r="A477" s="67" t="s">
        <v>571</v>
      </c>
      <c r="B477" s="70">
        <v>45588</v>
      </c>
      <c r="C477" s="67">
        <f t="shared" si="35"/>
        <v>2024</v>
      </c>
      <c r="D477" s="67" t="str">
        <f t="shared" si="36"/>
        <v>10 Oct</v>
      </c>
      <c r="E477" s="67" t="s">
        <v>36</v>
      </c>
      <c r="F477" s="67" t="s">
        <v>66</v>
      </c>
      <c r="G477" s="67" t="s">
        <v>53</v>
      </c>
      <c r="H477" s="67" t="s">
        <v>114</v>
      </c>
      <c r="I477" s="71">
        <v>2</v>
      </c>
      <c r="J477" s="72">
        <v>11030</v>
      </c>
      <c r="K477" s="73">
        <v>0</v>
      </c>
      <c r="L477" s="72">
        <v>8000</v>
      </c>
      <c r="M477" s="68">
        <f t="shared" si="37"/>
        <v>22060</v>
      </c>
      <c r="N477" s="68">
        <f t="shared" si="38"/>
        <v>16000</v>
      </c>
      <c r="O477" s="68">
        <f t="shared" si="39"/>
        <v>6060</v>
      </c>
    </row>
    <row r="478" spans="1:15" x14ac:dyDescent="0.3">
      <c r="A478" s="67" t="s">
        <v>572</v>
      </c>
      <c r="B478" s="70">
        <v>45589</v>
      </c>
      <c r="C478" s="67">
        <f t="shared" si="35"/>
        <v>2024</v>
      </c>
      <c r="D478" s="67" t="str">
        <f t="shared" si="36"/>
        <v>10 Oct</v>
      </c>
      <c r="E478" s="67" t="s">
        <v>39</v>
      </c>
      <c r="F478" s="67" t="s">
        <v>71</v>
      </c>
      <c r="G478" s="67" t="s">
        <v>55</v>
      </c>
      <c r="H478" s="67" t="s">
        <v>107</v>
      </c>
      <c r="I478" s="71">
        <v>9</v>
      </c>
      <c r="J478" s="72">
        <v>460</v>
      </c>
      <c r="K478" s="73">
        <v>0</v>
      </c>
      <c r="L478" s="72">
        <v>250</v>
      </c>
      <c r="M478" s="68">
        <f t="shared" si="37"/>
        <v>4140</v>
      </c>
      <c r="N478" s="68">
        <f t="shared" si="38"/>
        <v>2250</v>
      </c>
      <c r="O478" s="68">
        <f t="shared" si="39"/>
        <v>1890</v>
      </c>
    </row>
    <row r="479" spans="1:15" x14ac:dyDescent="0.3">
      <c r="A479" s="67" t="s">
        <v>573</v>
      </c>
      <c r="B479" s="70">
        <v>45589</v>
      </c>
      <c r="C479" s="67">
        <f t="shared" si="35"/>
        <v>2024</v>
      </c>
      <c r="D479" s="67" t="str">
        <f t="shared" si="36"/>
        <v>10 Oct</v>
      </c>
      <c r="E479" s="67" t="s">
        <v>45</v>
      </c>
      <c r="F479" s="67" t="s">
        <v>69</v>
      </c>
      <c r="G479" s="67" t="s">
        <v>60</v>
      </c>
      <c r="H479" s="67" t="s">
        <v>93</v>
      </c>
      <c r="I479" s="71">
        <v>1</v>
      </c>
      <c r="J479" s="72">
        <v>24820</v>
      </c>
      <c r="K479" s="73">
        <v>0.15</v>
      </c>
      <c r="L479" s="72">
        <v>18000</v>
      </c>
      <c r="M479" s="68">
        <f t="shared" si="37"/>
        <v>21097</v>
      </c>
      <c r="N479" s="68">
        <f t="shared" si="38"/>
        <v>18000</v>
      </c>
      <c r="O479" s="68">
        <f t="shared" si="39"/>
        <v>3097</v>
      </c>
    </row>
    <row r="480" spans="1:15" x14ac:dyDescent="0.3">
      <c r="A480" s="67" t="s">
        <v>574</v>
      </c>
      <c r="B480" s="70">
        <v>45590</v>
      </c>
      <c r="C480" s="67">
        <f t="shared" si="35"/>
        <v>2024</v>
      </c>
      <c r="D480" s="67" t="str">
        <f t="shared" si="36"/>
        <v>10 Oct</v>
      </c>
      <c r="E480" s="67" t="s">
        <v>39</v>
      </c>
      <c r="F480" s="67" t="s">
        <v>70</v>
      </c>
      <c r="G480" s="67" t="s">
        <v>62</v>
      </c>
      <c r="H480" s="67" t="s">
        <v>107</v>
      </c>
      <c r="I480" s="71">
        <v>1</v>
      </c>
      <c r="J480" s="72">
        <v>18030</v>
      </c>
      <c r="K480" s="73">
        <v>0</v>
      </c>
      <c r="L480" s="72">
        <v>12500</v>
      </c>
      <c r="M480" s="68">
        <f t="shared" si="37"/>
        <v>18030</v>
      </c>
      <c r="N480" s="68">
        <f t="shared" si="38"/>
        <v>12500</v>
      </c>
      <c r="O480" s="68">
        <f t="shared" si="39"/>
        <v>5530</v>
      </c>
    </row>
    <row r="481" spans="1:15" x14ac:dyDescent="0.3">
      <c r="A481" s="67" t="s">
        <v>575</v>
      </c>
      <c r="B481" s="70">
        <v>45591</v>
      </c>
      <c r="C481" s="67">
        <f t="shared" si="35"/>
        <v>2024</v>
      </c>
      <c r="D481" s="67" t="str">
        <f t="shared" si="36"/>
        <v>10 Oct</v>
      </c>
      <c r="E481" s="67" t="s">
        <v>42</v>
      </c>
      <c r="F481" s="67" t="s">
        <v>66</v>
      </c>
      <c r="G481" s="67" t="s">
        <v>38</v>
      </c>
      <c r="H481" s="67" t="s">
        <v>89</v>
      </c>
      <c r="I481" s="71">
        <v>2</v>
      </c>
      <c r="J481" s="72">
        <v>13510</v>
      </c>
      <c r="K481" s="73">
        <v>0.1</v>
      </c>
      <c r="L481" s="72">
        <v>9500</v>
      </c>
      <c r="M481" s="68">
        <f t="shared" si="37"/>
        <v>24318</v>
      </c>
      <c r="N481" s="68">
        <f t="shared" si="38"/>
        <v>19000</v>
      </c>
      <c r="O481" s="68">
        <f t="shared" si="39"/>
        <v>5318</v>
      </c>
    </row>
    <row r="482" spans="1:15" x14ac:dyDescent="0.3">
      <c r="A482" s="67" t="s">
        <v>576</v>
      </c>
      <c r="B482" s="70">
        <v>45592</v>
      </c>
      <c r="C482" s="67">
        <f t="shared" si="35"/>
        <v>2024</v>
      </c>
      <c r="D482" s="67" t="str">
        <f t="shared" si="36"/>
        <v>10 Oct</v>
      </c>
      <c r="E482" s="67" t="s">
        <v>42</v>
      </c>
      <c r="F482" s="67" t="s">
        <v>70</v>
      </c>
      <c r="G482" s="67" t="s">
        <v>41</v>
      </c>
      <c r="H482" s="67" t="s">
        <v>89</v>
      </c>
      <c r="I482" s="71">
        <v>1</v>
      </c>
      <c r="J482" s="72">
        <v>6690</v>
      </c>
      <c r="K482" s="73">
        <v>0.15</v>
      </c>
      <c r="L482" s="72">
        <v>4200</v>
      </c>
      <c r="M482" s="68">
        <f t="shared" si="37"/>
        <v>5686.5</v>
      </c>
      <c r="N482" s="68">
        <f t="shared" si="38"/>
        <v>4200</v>
      </c>
      <c r="O482" s="68">
        <f t="shared" si="39"/>
        <v>1486.5</v>
      </c>
    </row>
    <row r="483" spans="1:15" x14ac:dyDescent="0.3">
      <c r="A483" s="67" t="s">
        <v>577</v>
      </c>
      <c r="B483" s="70">
        <v>45592</v>
      </c>
      <c r="C483" s="67">
        <f t="shared" si="35"/>
        <v>2024</v>
      </c>
      <c r="D483" s="67" t="str">
        <f t="shared" si="36"/>
        <v>10 Oct</v>
      </c>
      <c r="E483" s="67" t="s">
        <v>42</v>
      </c>
      <c r="F483" s="67" t="s">
        <v>71</v>
      </c>
      <c r="G483" s="67" t="s">
        <v>44</v>
      </c>
      <c r="H483" s="67" t="s">
        <v>89</v>
      </c>
      <c r="I483" s="71">
        <v>9</v>
      </c>
      <c r="J483" s="72">
        <v>670</v>
      </c>
      <c r="K483" s="73">
        <v>0</v>
      </c>
      <c r="L483" s="72">
        <v>380</v>
      </c>
      <c r="M483" s="68">
        <f t="shared" si="37"/>
        <v>6030</v>
      </c>
      <c r="N483" s="68">
        <f t="shared" si="38"/>
        <v>3420</v>
      </c>
      <c r="O483" s="68">
        <f t="shared" si="39"/>
        <v>2610</v>
      </c>
    </row>
    <row r="484" spans="1:15" x14ac:dyDescent="0.3">
      <c r="A484" s="67" t="s">
        <v>578</v>
      </c>
      <c r="B484" s="70">
        <v>45593</v>
      </c>
      <c r="C484" s="67">
        <f t="shared" si="35"/>
        <v>2024</v>
      </c>
      <c r="D484" s="67" t="str">
        <f t="shared" si="36"/>
        <v>10 Oct</v>
      </c>
      <c r="E484" s="67" t="s">
        <v>39</v>
      </c>
      <c r="F484" s="67" t="s">
        <v>71</v>
      </c>
      <c r="G484" s="67" t="s">
        <v>44</v>
      </c>
      <c r="H484" s="67" t="s">
        <v>100</v>
      </c>
      <c r="I484" s="71">
        <v>4</v>
      </c>
      <c r="J484" s="72">
        <v>730</v>
      </c>
      <c r="K484" s="73">
        <v>0.15</v>
      </c>
      <c r="L484" s="72">
        <v>380</v>
      </c>
      <c r="M484" s="68">
        <f t="shared" si="37"/>
        <v>2482</v>
      </c>
      <c r="N484" s="68">
        <f t="shared" si="38"/>
        <v>1520</v>
      </c>
      <c r="O484" s="68">
        <f t="shared" si="39"/>
        <v>962</v>
      </c>
    </row>
    <row r="485" spans="1:15" x14ac:dyDescent="0.3">
      <c r="A485" s="67" t="s">
        <v>579</v>
      </c>
      <c r="B485" s="70">
        <v>45597</v>
      </c>
      <c r="C485" s="67">
        <f t="shared" si="35"/>
        <v>2024</v>
      </c>
      <c r="D485" s="67" t="str">
        <f t="shared" si="36"/>
        <v>11 Nov</v>
      </c>
      <c r="E485" s="67" t="s">
        <v>42</v>
      </c>
      <c r="F485" s="67" t="s">
        <v>71</v>
      </c>
      <c r="G485" s="67" t="s">
        <v>55</v>
      </c>
      <c r="H485" s="67" t="s">
        <v>112</v>
      </c>
      <c r="I485" s="71">
        <v>27</v>
      </c>
      <c r="J485" s="72">
        <v>430</v>
      </c>
      <c r="K485" s="73">
        <v>0.05</v>
      </c>
      <c r="L485" s="72">
        <v>250</v>
      </c>
      <c r="M485" s="68">
        <f t="shared" si="37"/>
        <v>11029.5</v>
      </c>
      <c r="N485" s="68">
        <f t="shared" si="38"/>
        <v>6750</v>
      </c>
      <c r="O485" s="68">
        <f t="shared" si="39"/>
        <v>4279.5</v>
      </c>
    </row>
    <row r="486" spans="1:15" x14ac:dyDescent="0.3">
      <c r="A486" s="67" t="s">
        <v>580</v>
      </c>
      <c r="B486" s="70">
        <v>45598</v>
      </c>
      <c r="C486" s="67">
        <f t="shared" si="35"/>
        <v>2024</v>
      </c>
      <c r="D486" s="67" t="str">
        <f t="shared" si="36"/>
        <v>11 Nov</v>
      </c>
      <c r="E486" s="67" t="s">
        <v>42</v>
      </c>
      <c r="F486" s="67" t="s">
        <v>71</v>
      </c>
      <c r="G486" s="67" t="s">
        <v>44</v>
      </c>
      <c r="H486" s="67" t="s">
        <v>112</v>
      </c>
      <c r="I486" s="71">
        <v>17</v>
      </c>
      <c r="J486" s="72">
        <v>730</v>
      </c>
      <c r="K486" s="73">
        <v>0.1</v>
      </c>
      <c r="L486" s="72">
        <v>380</v>
      </c>
      <c r="M486" s="68">
        <f t="shared" si="37"/>
        <v>11169</v>
      </c>
      <c r="N486" s="68">
        <f t="shared" si="38"/>
        <v>6460</v>
      </c>
      <c r="O486" s="68">
        <f t="shared" si="39"/>
        <v>4709</v>
      </c>
    </row>
    <row r="487" spans="1:15" x14ac:dyDescent="0.3">
      <c r="A487" s="67" t="s">
        <v>581</v>
      </c>
      <c r="B487" s="70">
        <v>45598</v>
      </c>
      <c r="C487" s="67">
        <f t="shared" si="35"/>
        <v>2024</v>
      </c>
      <c r="D487" s="67" t="str">
        <f t="shared" si="36"/>
        <v>11 Nov</v>
      </c>
      <c r="E487" s="67" t="s">
        <v>45</v>
      </c>
      <c r="F487" s="67" t="s">
        <v>71</v>
      </c>
      <c r="G487" s="67" t="s">
        <v>47</v>
      </c>
      <c r="H487" s="67" t="s">
        <v>93</v>
      </c>
      <c r="I487" s="71">
        <v>50</v>
      </c>
      <c r="J487" s="72">
        <v>290</v>
      </c>
      <c r="K487" s="73">
        <v>0.05</v>
      </c>
      <c r="L487" s="72">
        <v>160</v>
      </c>
      <c r="M487" s="68">
        <f t="shared" si="37"/>
        <v>13775</v>
      </c>
      <c r="N487" s="68">
        <f t="shared" si="38"/>
        <v>8000</v>
      </c>
      <c r="O487" s="68">
        <f t="shared" si="39"/>
        <v>5775</v>
      </c>
    </row>
    <row r="488" spans="1:15" x14ac:dyDescent="0.3">
      <c r="A488" s="67" t="s">
        <v>582</v>
      </c>
      <c r="B488" s="70">
        <v>45598</v>
      </c>
      <c r="C488" s="67">
        <f t="shared" si="35"/>
        <v>2024</v>
      </c>
      <c r="D488" s="67" t="str">
        <f t="shared" si="36"/>
        <v>11 Nov</v>
      </c>
      <c r="E488" s="67" t="s">
        <v>45</v>
      </c>
      <c r="F488" s="67" t="s">
        <v>70</v>
      </c>
      <c r="G488" s="67" t="s">
        <v>58</v>
      </c>
      <c r="H488" s="67" t="s">
        <v>93</v>
      </c>
      <c r="I488" s="71">
        <v>5</v>
      </c>
      <c r="J488" s="72">
        <v>9120</v>
      </c>
      <c r="K488" s="73">
        <v>0.05</v>
      </c>
      <c r="L488" s="72">
        <v>6000</v>
      </c>
      <c r="M488" s="68">
        <f t="shared" si="37"/>
        <v>43320</v>
      </c>
      <c r="N488" s="68">
        <f t="shared" si="38"/>
        <v>30000</v>
      </c>
      <c r="O488" s="68">
        <f t="shared" si="39"/>
        <v>13320</v>
      </c>
    </row>
    <row r="489" spans="1:15" x14ac:dyDescent="0.3">
      <c r="A489" s="67" t="s">
        <v>583</v>
      </c>
      <c r="B489" s="70">
        <v>45599</v>
      </c>
      <c r="C489" s="67">
        <f t="shared" si="35"/>
        <v>2024</v>
      </c>
      <c r="D489" s="67" t="str">
        <f t="shared" si="36"/>
        <v>11 Nov</v>
      </c>
      <c r="E489" s="67" t="s">
        <v>39</v>
      </c>
      <c r="F489" s="67" t="s">
        <v>70</v>
      </c>
      <c r="G489" s="67" t="s">
        <v>58</v>
      </c>
      <c r="H489" s="67" t="s">
        <v>100</v>
      </c>
      <c r="I489" s="71">
        <v>2</v>
      </c>
      <c r="J489" s="72">
        <v>8930</v>
      </c>
      <c r="K489" s="73">
        <v>0.15</v>
      </c>
      <c r="L489" s="72">
        <v>6000</v>
      </c>
      <c r="M489" s="68">
        <f t="shared" si="37"/>
        <v>15181</v>
      </c>
      <c r="N489" s="68">
        <f t="shared" si="38"/>
        <v>12000</v>
      </c>
      <c r="O489" s="68">
        <f t="shared" si="39"/>
        <v>3181</v>
      </c>
    </row>
    <row r="490" spans="1:15" x14ac:dyDescent="0.3">
      <c r="A490" s="67" t="s">
        <v>584</v>
      </c>
      <c r="B490" s="70">
        <v>45599</v>
      </c>
      <c r="C490" s="67">
        <f t="shared" si="35"/>
        <v>2024</v>
      </c>
      <c r="D490" s="67" t="str">
        <f t="shared" si="36"/>
        <v>11 Nov</v>
      </c>
      <c r="E490" s="67" t="s">
        <v>48</v>
      </c>
      <c r="F490" s="67" t="s">
        <v>70</v>
      </c>
      <c r="G490" s="67" t="s">
        <v>41</v>
      </c>
      <c r="H490" s="67" t="s">
        <v>95</v>
      </c>
      <c r="I490" s="71">
        <v>4</v>
      </c>
      <c r="J490" s="72">
        <v>6780</v>
      </c>
      <c r="K490" s="73">
        <v>0.1</v>
      </c>
      <c r="L490" s="72">
        <v>4200</v>
      </c>
      <c r="M490" s="68">
        <f t="shared" si="37"/>
        <v>24408</v>
      </c>
      <c r="N490" s="68">
        <f t="shared" si="38"/>
        <v>16800</v>
      </c>
      <c r="O490" s="68">
        <f t="shared" si="39"/>
        <v>7608</v>
      </c>
    </row>
    <row r="491" spans="1:15" x14ac:dyDescent="0.3">
      <c r="A491" s="67" t="s">
        <v>585</v>
      </c>
      <c r="B491" s="70">
        <v>45599</v>
      </c>
      <c r="C491" s="67">
        <f t="shared" si="35"/>
        <v>2024</v>
      </c>
      <c r="D491" s="67" t="str">
        <f t="shared" si="36"/>
        <v>11 Nov</v>
      </c>
      <c r="E491" s="67" t="s">
        <v>42</v>
      </c>
      <c r="F491" s="67" t="s">
        <v>66</v>
      </c>
      <c r="G491" s="67" t="s">
        <v>53</v>
      </c>
      <c r="H491" s="67" t="s">
        <v>112</v>
      </c>
      <c r="I491" s="71">
        <v>1</v>
      </c>
      <c r="J491" s="72">
        <v>11010</v>
      </c>
      <c r="K491" s="73">
        <v>0.1</v>
      </c>
      <c r="L491" s="72">
        <v>8000</v>
      </c>
      <c r="M491" s="68">
        <f t="shared" si="37"/>
        <v>9909</v>
      </c>
      <c r="N491" s="68">
        <f t="shared" si="38"/>
        <v>8000</v>
      </c>
      <c r="O491" s="68">
        <f t="shared" si="39"/>
        <v>1909</v>
      </c>
    </row>
    <row r="492" spans="1:15" x14ac:dyDescent="0.3">
      <c r="A492" s="67" t="s">
        <v>586</v>
      </c>
      <c r="B492" s="70">
        <v>45600</v>
      </c>
      <c r="C492" s="67">
        <f t="shared" si="35"/>
        <v>2024</v>
      </c>
      <c r="D492" s="67" t="str">
        <f t="shared" si="36"/>
        <v>11 Nov</v>
      </c>
      <c r="E492" s="67" t="s">
        <v>42</v>
      </c>
      <c r="F492" s="67" t="s">
        <v>66</v>
      </c>
      <c r="G492" s="67" t="s">
        <v>38</v>
      </c>
      <c r="H492" s="67" t="s">
        <v>112</v>
      </c>
      <c r="I492" s="71">
        <v>2</v>
      </c>
      <c r="J492" s="72">
        <v>13570</v>
      </c>
      <c r="K492" s="73">
        <v>0.05</v>
      </c>
      <c r="L492" s="72">
        <v>9500</v>
      </c>
      <c r="M492" s="68">
        <f t="shared" si="37"/>
        <v>25783</v>
      </c>
      <c r="N492" s="68">
        <f t="shared" si="38"/>
        <v>19000</v>
      </c>
      <c r="O492" s="68">
        <f t="shared" si="39"/>
        <v>6783</v>
      </c>
    </row>
    <row r="493" spans="1:15" x14ac:dyDescent="0.3">
      <c r="A493" s="67" t="s">
        <v>587</v>
      </c>
      <c r="B493" s="70">
        <v>45602</v>
      </c>
      <c r="C493" s="67">
        <f t="shared" si="35"/>
        <v>2024</v>
      </c>
      <c r="D493" s="67" t="str">
        <f t="shared" si="36"/>
        <v>11 Nov</v>
      </c>
      <c r="E493" s="67" t="s">
        <v>42</v>
      </c>
      <c r="F493" s="67" t="s">
        <v>70</v>
      </c>
      <c r="G493" s="67" t="s">
        <v>58</v>
      </c>
      <c r="H493" s="67" t="s">
        <v>89</v>
      </c>
      <c r="I493" s="71">
        <v>5</v>
      </c>
      <c r="J493" s="72">
        <v>8850</v>
      </c>
      <c r="K493" s="73">
        <v>0.05</v>
      </c>
      <c r="L493" s="72">
        <v>6000</v>
      </c>
      <c r="M493" s="68">
        <f t="shared" si="37"/>
        <v>42037.5</v>
      </c>
      <c r="N493" s="68">
        <f t="shared" si="38"/>
        <v>30000</v>
      </c>
      <c r="O493" s="68">
        <f t="shared" si="39"/>
        <v>12037.5</v>
      </c>
    </row>
    <row r="494" spans="1:15" x14ac:dyDescent="0.3">
      <c r="A494" s="67" t="s">
        <v>588</v>
      </c>
      <c r="B494" s="70">
        <v>45602</v>
      </c>
      <c r="C494" s="67">
        <f t="shared" si="35"/>
        <v>2024</v>
      </c>
      <c r="D494" s="67" t="str">
        <f t="shared" si="36"/>
        <v>11 Nov</v>
      </c>
      <c r="E494" s="67" t="s">
        <v>45</v>
      </c>
      <c r="F494" s="67" t="s">
        <v>71</v>
      </c>
      <c r="G494" s="67" t="s">
        <v>44</v>
      </c>
      <c r="H494" s="67" t="s">
        <v>87</v>
      </c>
      <c r="I494" s="71">
        <v>3</v>
      </c>
      <c r="J494" s="72">
        <v>710</v>
      </c>
      <c r="K494" s="73">
        <v>0.05</v>
      </c>
      <c r="L494" s="72">
        <v>380</v>
      </c>
      <c r="M494" s="68">
        <f t="shared" si="37"/>
        <v>2023.5</v>
      </c>
      <c r="N494" s="68">
        <f t="shared" si="38"/>
        <v>1140</v>
      </c>
      <c r="O494" s="68">
        <f t="shared" si="39"/>
        <v>883.5</v>
      </c>
    </row>
    <row r="495" spans="1:15" x14ac:dyDescent="0.3">
      <c r="A495" s="67" t="s">
        <v>589</v>
      </c>
      <c r="B495" s="70">
        <v>45603</v>
      </c>
      <c r="C495" s="67">
        <f t="shared" si="35"/>
        <v>2024</v>
      </c>
      <c r="D495" s="67" t="str">
        <f t="shared" si="36"/>
        <v>11 Nov</v>
      </c>
      <c r="E495" s="67" t="s">
        <v>42</v>
      </c>
      <c r="F495" s="67" t="s">
        <v>71</v>
      </c>
      <c r="G495" s="67" t="s">
        <v>55</v>
      </c>
      <c r="H495" s="67" t="s">
        <v>112</v>
      </c>
      <c r="I495" s="71">
        <v>12</v>
      </c>
      <c r="J495" s="72">
        <v>460</v>
      </c>
      <c r="K495" s="73">
        <v>0</v>
      </c>
      <c r="L495" s="72">
        <v>250</v>
      </c>
      <c r="M495" s="68">
        <f t="shared" si="37"/>
        <v>5520</v>
      </c>
      <c r="N495" s="68">
        <f t="shared" si="38"/>
        <v>3000</v>
      </c>
      <c r="O495" s="68">
        <f t="shared" si="39"/>
        <v>2520</v>
      </c>
    </row>
    <row r="496" spans="1:15" x14ac:dyDescent="0.3">
      <c r="A496" s="67" t="s">
        <v>590</v>
      </c>
      <c r="B496" s="70">
        <v>45604</v>
      </c>
      <c r="C496" s="67">
        <f t="shared" si="35"/>
        <v>2024</v>
      </c>
      <c r="D496" s="67" t="str">
        <f t="shared" si="36"/>
        <v>11 Nov</v>
      </c>
      <c r="E496" s="67" t="s">
        <v>45</v>
      </c>
      <c r="F496" s="67" t="s">
        <v>71</v>
      </c>
      <c r="G496" s="67" t="s">
        <v>47</v>
      </c>
      <c r="H496" s="67" t="s">
        <v>87</v>
      </c>
      <c r="I496" s="71">
        <v>8</v>
      </c>
      <c r="J496" s="72">
        <v>310</v>
      </c>
      <c r="K496" s="73">
        <v>0.1</v>
      </c>
      <c r="L496" s="72">
        <v>160</v>
      </c>
      <c r="M496" s="68">
        <f t="shared" si="37"/>
        <v>2232</v>
      </c>
      <c r="N496" s="68">
        <f t="shared" si="38"/>
        <v>1280</v>
      </c>
      <c r="O496" s="68">
        <f t="shared" si="39"/>
        <v>952</v>
      </c>
    </row>
    <row r="497" spans="1:15" x14ac:dyDescent="0.3">
      <c r="A497" s="67" t="s">
        <v>591</v>
      </c>
      <c r="B497" s="70">
        <v>45604</v>
      </c>
      <c r="C497" s="67">
        <f t="shared" si="35"/>
        <v>2024</v>
      </c>
      <c r="D497" s="67" t="str">
        <f t="shared" si="36"/>
        <v>11 Nov</v>
      </c>
      <c r="E497" s="67" t="s">
        <v>39</v>
      </c>
      <c r="F497" s="67" t="s">
        <v>69</v>
      </c>
      <c r="G497" s="67" t="s">
        <v>68</v>
      </c>
      <c r="H497" s="67" t="s">
        <v>100</v>
      </c>
      <c r="I497" s="71">
        <v>1</v>
      </c>
      <c r="J497" s="72">
        <v>3450</v>
      </c>
      <c r="K497" s="73">
        <v>0</v>
      </c>
      <c r="L497" s="72">
        <v>2000</v>
      </c>
      <c r="M497" s="68">
        <f t="shared" si="37"/>
        <v>3450</v>
      </c>
      <c r="N497" s="68">
        <f t="shared" si="38"/>
        <v>2000</v>
      </c>
      <c r="O497" s="68">
        <f t="shared" si="39"/>
        <v>1450</v>
      </c>
    </row>
    <row r="498" spans="1:15" x14ac:dyDescent="0.3">
      <c r="A498" s="67" t="s">
        <v>592</v>
      </c>
      <c r="B498" s="70">
        <v>45605</v>
      </c>
      <c r="C498" s="67">
        <f t="shared" si="35"/>
        <v>2024</v>
      </c>
      <c r="D498" s="67" t="str">
        <f t="shared" si="36"/>
        <v>11 Nov</v>
      </c>
      <c r="E498" s="67" t="s">
        <v>42</v>
      </c>
      <c r="F498" s="67" t="s">
        <v>69</v>
      </c>
      <c r="G498" s="67" t="s">
        <v>68</v>
      </c>
      <c r="H498" s="67" t="s">
        <v>89</v>
      </c>
      <c r="I498" s="71">
        <v>5</v>
      </c>
      <c r="J498" s="72">
        <v>3420</v>
      </c>
      <c r="K498" s="73">
        <v>0</v>
      </c>
      <c r="L498" s="72">
        <v>2000</v>
      </c>
      <c r="M498" s="68">
        <f t="shared" si="37"/>
        <v>17100</v>
      </c>
      <c r="N498" s="68">
        <f t="shared" si="38"/>
        <v>10000</v>
      </c>
      <c r="O498" s="68">
        <f t="shared" si="39"/>
        <v>7100</v>
      </c>
    </row>
    <row r="499" spans="1:15" x14ac:dyDescent="0.3">
      <c r="A499" s="67" t="s">
        <v>593</v>
      </c>
      <c r="B499" s="70">
        <v>45606</v>
      </c>
      <c r="C499" s="67">
        <f t="shared" si="35"/>
        <v>2024</v>
      </c>
      <c r="D499" s="67" t="str">
        <f t="shared" si="36"/>
        <v>11 Nov</v>
      </c>
      <c r="E499" s="67" t="s">
        <v>45</v>
      </c>
      <c r="F499" s="67" t="s">
        <v>69</v>
      </c>
      <c r="G499" s="67" t="s">
        <v>60</v>
      </c>
      <c r="H499" s="67" t="s">
        <v>87</v>
      </c>
      <c r="I499" s="71">
        <v>3</v>
      </c>
      <c r="J499" s="72">
        <v>23550</v>
      </c>
      <c r="K499" s="73">
        <v>0</v>
      </c>
      <c r="L499" s="72">
        <v>18000</v>
      </c>
      <c r="M499" s="68">
        <f t="shared" si="37"/>
        <v>70650</v>
      </c>
      <c r="N499" s="68">
        <f t="shared" si="38"/>
        <v>54000</v>
      </c>
      <c r="O499" s="68">
        <f t="shared" si="39"/>
        <v>16650</v>
      </c>
    </row>
    <row r="500" spans="1:15" x14ac:dyDescent="0.3">
      <c r="A500" s="67" t="s">
        <v>594</v>
      </c>
      <c r="B500" s="70">
        <v>45607</v>
      </c>
      <c r="C500" s="67">
        <f t="shared" si="35"/>
        <v>2024</v>
      </c>
      <c r="D500" s="67" t="str">
        <f t="shared" si="36"/>
        <v>11 Nov</v>
      </c>
      <c r="E500" s="67" t="s">
        <v>45</v>
      </c>
      <c r="F500" s="67" t="s">
        <v>69</v>
      </c>
      <c r="G500" s="67" t="s">
        <v>60</v>
      </c>
      <c r="H500" s="67" t="s">
        <v>87</v>
      </c>
      <c r="I500" s="71">
        <v>2</v>
      </c>
      <c r="J500" s="72">
        <v>24130</v>
      </c>
      <c r="K500" s="73">
        <v>0.05</v>
      </c>
      <c r="L500" s="72">
        <v>18000</v>
      </c>
      <c r="M500" s="68">
        <f t="shared" si="37"/>
        <v>45847</v>
      </c>
      <c r="N500" s="68">
        <f t="shared" si="38"/>
        <v>36000</v>
      </c>
      <c r="O500" s="68">
        <f t="shared" si="39"/>
        <v>9847</v>
      </c>
    </row>
    <row r="501" spans="1:15" x14ac:dyDescent="0.3">
      <c r="A501" s="67" t="s">
        <v>595</v>
      </c>
      <c r="B501" s="70">
        <v>45609</v>
      </c>
      <c r="C501" s="67">
        <f t="shared" si="35"/>
        <v>2024</v>
      </c>
      <c r="D501" s="67" t="str">
        <f t="shared" si="36"/>
        <v>11 Nov</v>
      </c>
      <c r="E501" s="67" t="s">
        <v>42</v>
      </c>
      <c r="F501" s="67" t="s">
        <v>66</v>
      </c>
      <c r="G501" s="67" t="s">
        <v>65</v>
      </c>
      <c r="H501" s="67" t="s">
        <v>89</v>
      </c>
      <c r="I501" s="71">
        <v>2</v>
      </c>
      <c r="J501" s="72">
        <v>13270</v>
      </c>
      <c r="K501" s="73">
        <v>0</v>
      </c>
      <c r="L501" s="72">
        <v>9000</v>
      </c>
      <c r="M501" s="68">
        <f t="shared" si="37"/>
        <v>26540</v>
      </c>
      <c r="N501" s="68">
        <f t="shared" si="38"/>
        <v>18000</v>
      </c>
      <c r="O501" s="68">
        <f t="shared" si="39"/>
        <v>8540</v>
      </c>
    </row>
    <row r="502" spans="1:15" x14ac:dyDescent="0.3">
      <c r="A502" s="67" t="s">
        <v>596</v>
      </c>
      <c r="B502" s="70">
        <v>45609</v>
      </c>
      <c r="C502" s="67">
        <f t="shared" si="35"/>
        <v>2024</v>
      </c>
      <c r="D502" s="67" t="str">
        <f t="shared" si="36"/>
        <v>11 Nov</v>
      </c>
      <c r="E502" s="67" t="s">
        <v>36</v>
      </c>
      <c r="F502" s="67" t="s">
        <v>69</v>
      </c>
      <c r="G502" s="67" t="s">
        <v>68</v>
      </c>
      <c r="H502" s="67" t="s">
        <v>91</v>
      </c>
      <c r="I502" s="71">
        <v>6</v>
      </c>
      <c r="J502" s="72">
        <v>3530</v>
      </c>
      <c r="K502" s="73">
        <v>0.15</v>
      </c>
      <c r="L502" s="72">
        <v>2000</v>
      </c>
      <c r="M502" s="68">
        <f t="shared" si="37"/>
        <v>18003</v>
      </c>
      <c r="N502" s="68">
        <f t="shared" si="38"/>
        <v>12000</v>
      </c>
      <c r="O502" s="68">
        <f t="shared" si="39"/>
        <v>6003</v>
      </c>
    </row>
    <row r="503" spans="1:15" x14ac:dyDescent="0.3">
      <c r="A503" s="67" t="s">
        <v>597</v>
      </c>
      <c r="B503" s="70">
        <v>45609</v>
      </c>
      <c r="C503" s="67">
        <f t="shared" si="35"/>
        <v>2024</v>
      </c>
      <c r="D503" s="67" t="str">
        <f t="shared" si="36"/>
        <v>11 Nov</v>
      </c>
      <c r="E503" s="67" t="s">
        <v>39</v>
      </c>
      <c r="F503" s="67" t="s">
        <v>69</v>
      </c>
      <c r="G503" s="67" t="s">
        <v>60</v>
      </c>
      <c r="H503" s="67" t="s">
        <v>107</v>
      </c>
      <c r="I503" s="71">
        <v>3</v>
      </c>
      <c r="J503" s="72">
        <v>23310</v>
      </c>
      <c r="K503" s="73">
        <v>0</v>
      </c>
      <c r="L503" s="72">
        <v>18000</v>
      </c>
      <c r="M503" s="68">
        <f t="shared" si="37"/>
        <v>69930</v>
      </c>
      <c r="N503" s="68">
        <f t="shared" si="38"/>
        <v>54000</v>
      </c>
      <c r="O503" s="68">
        <f t="shared" si="39"/>
        <v>15930</v>
      </c>
    </row>
    <row r="504" spans="1:15" x14ac:dyDescent="0.3">
      <c r="A504" s="67" t="s">
        <v>598</v>
      </c>
      <c r="B504" s="70">
        <v>45610</v>
      </c>
      <c r="C504" s="67">
        <f t="shared" si="35"/>
        <v>2024</v>
      </c>
      <c r="D504" s="67" t="str">
        <f t="shared" si="36"/>
        <v>11 Nov</v>
      </c>
      <c r="E504" s="67" t="s">
        <v>39</v>
      </c>
      <c r="F504" s="67" t="s">
        <v>71</v>
      </c>
      <c r="G504" s="67" t="s">
        <v>44</v>
      </c>
      <c r="H504" s="67" t="s">
        <v>100</v>
      </c>
      <c r="I504" s="71">
        <v>18</v>
      </c>
      <c r="J504" s="72">
        <v>730</v>
      </c>
      <c r="K504" s="73">
        <v>0.05</v>
      </c>
      <c r="L504" s="72">
        <v>380</v>
      </c>
      <c r="M504" s="68">
        <f t="shared" si="37"/>
        <v>12483</v>
      </c>
      <c r="N504" s="68">
        <f t="shared" si="38"/>
        <v>6840</v>
      </c>
      <c r="O504" s="68">
        <f t="shared" si="39"/>
        <v>5643</v>
      </c>
    </row>
    <row r="505" spans="1:15" x14ac:dyDescent="0.3">
      <c r="A505" s="67" t="s">
        <v>599</v>
      </c>
      <c r="B505" s="70">
        <v>45610</v>
      </c>
      <c r="C505" s="67">
        <f t="shared" si="35"/>
        <v>2024</v>
      </c>
      <c r="D505" s="67" t="str">
        <f t="shared" si="36"/>
        <v>11 Nov</v>
      </c>
      <c r="E505" s="67" t="s">
        <v>42</v>
      </c>
      <c r="F505" s="67" t="s">
        <v>69</v>
      </c>
      <c r="G505" s="67" t="s">
        <v>50</v>
      </c>
      <c r="H505" s="67" t="s">
        <v>112</v>
      </c>
      <c r="I505" s="71">
        <v>1</v>
      </c>
      <c r="J505" s="72">
        <v>54260</v>
      </c>
      <c r="K505" s="73">
        <v>0.1</v>
      </c>
      <c r="L505" s="72">
        <v>42000</v>
      </c>
      <c r="M505" s="68">
        <f t="shared" si="37"/>
        <v>48834</v>
      </c>
      <c r="N505" s="68">
        <f t="shared" si="38"/>
        <v>42000</v>
      </c>
      <c r="O505" s="68">
        <f t="shared" si="39"/>
        <v>6834</v>
      </c>
    </row>
    <row r="506" spans="1:15" x14ac:dyDescent="0.3">
      <c r="A506" s="67" t="s">
        <v>600</v>
      </c>
      <c r="B506" s="70">
        <v>45610</v>
      </c>
      <c r="C506" s="67">
        <f t="shared" si="35"/>
        <v>2024</v>
      </c>
      <c r="D506" s="67" t="str">
        <f t="shared" si="36"/>
        <v>11 Nov</v>
      </c>
      <c r="E506" s="67" t="s">
        <v>48</v>
      </c>
      <c r="F506" s="67" t="s">
        <v>69</v>
      </c>
      <c r="G506" s="67" t="s">
        <v>68</v>
      </c>
      <c r="H506" s="67" t="s">
        <v>95</v>
      </c>
      <c r="I506" s="71">
        <v>4</v>
      </c>
      <c r="J506" s="72">
        <v>3410</v>
      </c>
      <c r="K506" s="73">
        <v>0</v>
      </c>
      <c r="L506" s="72">
        <v>2000</v>
      </c>
      <c r="M506" s="68">
        <f t="shared" si="37"/>
        <v>13640</v>
      </c>
      <c r="N506" s="68">
        <f t="shared" si="38"/>
        <v>8000</v>
      </c>
      <c r="O506" s="68">
        <f t="shared" si="39"/>
        <v>5640</v>
      </c>
    </row>
    <row r="507" spans="1:15" x14ac:dyDescent="0.3">
      <c r="A507" s="67" t="s">
        <v>601</v>
      </c>
      <c r="B507" s="70">
        <v>45611</v>
      </c>
      <c r="C507" s="67">
        <f t="shared" si="35"/>
        <v>2024</v>
      </c>
      <c r="D507" s="67" t="str">
        <f t="shared" si="36"/>
        <v>11 Nov</v>
      </c>
      <c r="E507" s="67" t="s">
        <v>42</v>
      </c>
      <c r="F507" s="67" t="s">
        <v>70</v>
      </c>
      <c r="G507" s="67" t="s">
        <v>58</v>
      </c>
      <c r="H507" s="67" t="s">
        <v>112</v>
      </c>
      <c r="I507" s="71">
        <v>5</v>
      </c>
      <c r="J507" s="72">
        <v>8990</v>
      </c>
      <c r="K507" s="73">
        <v>0</v>
      </c>
      <c r="L507" s="72">
        <v>6000</v>
      </c>
      <c r="M507" s="68">
        <f t="shared" si="37"/>
        <v>44950</v>
      </c>
      <c r="N507" s="68">
        <f t="shared" si="38"/>
        <v>30000</v>
      </c>
      <c r="O507" s="68">
        <f t="shared" si="39"/>
        <v>14950</v>
      </c>
    </row>
    <row r="508" spans="1:15" x14ac:dyDescent="0.3">
      <c r="A508" s="67" t="s">
        <v>602</v>
      </c>
      <c r="B508" s="70">
        <v>45611</v>
      </c>
      <c r="C508" s="67">
        <f t="shared" si="35"/>
        <v>2024</v>
      </c>
      <c r="D508" s="67" t="str">
        <f t="shared" si="36"/>
        <v>11 Nov</v>
      </c>
      <c r="E508" s="67" t="s">
        <v>42</v>
      </c>
      <c r="F508" s="67" t="s">
        <v>66</v>
      </c>
      <c r="G508" s="67" t="s">
        <v>65</v>
      </c>
      <c r="H508" s="67" t="s">
        <v>89</v>
      </c>
      <c r="I508" s="71">
        <v>2</v>
      </c>
      <c r="J508" s="72">
        <v>13340</v>
      </c>
      <c r="K508" s="73">
        <v>0.15</v>
      </c>
      <c r="L508" s="72">
        <v>9000</v>
      </c>
      <c r="M508" s="68">
        <f t="shared" si="37"/>
        <v>22678</v>
      </c>
      <c r="N508" s="68">
        <f t="shared" si="38"/>
        <v>18000</v>
      </c>
      <c r="O508" s="68">
        <f t="shared" si="39"/>
        <v>4678</v>
      </c>
    </row>
    <row r="509" spans="1:15" x14ac:dyDescent="0.3">
      <c r="A509" s="67" t="s">
        <v>603</v>
      </c>
      <c r="B509" s="70">
        <v>45611</v>
      </c>
      <c r="C509" s="67">
        <f t="shared" si="35"/>
        <v>2024</v>
      </c>
      <c r="D509" s="67" t="str">
        <f t="shared" si="36"/>
        <v>11 Nov</v>
      </c>
      <c r="E509" s="67" t="s">
        <v>45</v>
      </c>
      <c r="F509" s="67" t="s">
        <v>69</v>
      </c>
      <c r="G509" s="67" t="s">
        <v>60</v>
      </c>
      <c r="H509" s="67" t="s">
        <v>93</v>
      </c>
      <c r="I509" s="71">
        <v>3</v>
      </c>
      <c r="J509" s="72">
        <v>23280</v>
      </c>
      <c r="K509" s="73">
        <v>0.05</v>
      </c>
      <c r="L509" s="72">
        <v>18000</v>
      </c>
      <c r="M509" s="68">
        <f t="shared" si="37"/>
        <v>66348</v>
      </c>
      <c r="N509" s="68">
        <f t="shared" si="38"/>
        <v>54000</v>
      </c>
      <c r="O509" s="68">
        <f t="shared" si="39"/>
        <v>12348</v>
      </c>
    </row>
    <row r="510" spans="1:15" x14ac:dyDescent="0.3">
      <c r="A510" s="67" t="s">
        <v>604</v>
      </c>
      <c r="B510" s="70">
        <v>45611</v>
      </c>
      <c r="C510" s="67">
        <f t="shared" si="35"/>
        <v>2024</v>
      </c>
      <c r="D510" s="67" t="str">
        <f t="shared" si="36"/>
        <v>11 Nov</v>
      </c>
      <c r="E510" s="67" t="s">
        <v>48</v>
      </c>
      <c r="F510" s="67" t="s">
        <v>70</v>
      </c>
      <c r="G510" s="67" t="s">
        <v>58</v>
      </c>
      <c r="H510" s="67" t="s">
        <v>95</v>
      </c>
      <c r="I510" s="71">
        <v>4</v>
      </c>
      <c r="J510" s="72">
        <v>8990</v>
      </c>
      <c r="K510" s="73">
        <v>0</v>
      </c>
      <c r="L510" s="72">
        <v>6000</v>
      </c>
      <c r="M510" s="68">
        <f t="shared" si="37"/>
        <v>35960</v>
      </c>
      <c r="N510" s="68">
        <f t="shared" si="38"/>
        <v>24000</v>
      </c>
      <c r="O510" s="68">
        <f t="shared" si="39"/>
        <v>11960</v>
      </c>
    </row>
    <row r="511" spans="1:15" x14ac:dyDescent="0.3">
      <c r="A511" s="67" t="s">
        <v>605</v>
      </c>
      <c r="B511" s="70">
        <v>45613</v>
      </c>
      <c r="C511" s="67">
        <f t="shared" si="35"/>
        <v>2024</v>
      </c>
      <c r="D511" s="67" t="str">
        <f t="shared" si="36"/>
        <v>11 Nov</v>
      </c>
      <c r="E511" s="67" t="s">
        <v>36</v>
      </c>
      <c r="F511" s="67" t="s">
        <v>69</v>
      </c>
      <c r="G511" s="67" t="s">
        <v>60</v>
      </c>
      <c r="H511" s="67" t="s">
        <v>114</v>
      </c>
      <c r="I511" s="71">
        <v>3</v>
      </c>
      <c r="J511" s="72">
        <v>24580</v>
      </c>
      <c r="K511" s="73">
        <v>0.1</v>
      </c>
      <c r="L511" s="72">
        <v>18000</v>
      </c>
      <c r="M511" s="68">
        <f t="shared" si="37"/>
        <v>66366</v>
      </c>
      <c r="N511" s="68">
        <f t="shared" si="38"/>
        <v>54000</v>
      </c>
      <c r="O511" s="68">
        <f t="shared" si="39"/>
        <v>12366</v>
      </c>
    </row>
    <row r="512" spans="1:15" x14ac:dyDescent="0.3">
      <c r="A512" s="67" t="s">
        <v>606</v>
      </c>
      <c r="B512" s="70">
        <v>45613</v>
      </c>
      <c r="C512" s="67">
        <f t="shared" si="35"/>
        <v>2024</v>
      </c>
      <c r="D512" s="67" t="str">
        <f t="shared" si="36"/>
        <v>11 Nov</v>
      </c>
      <c r="E512" s="67" t="s">
        <v>45</v>
      </c>
      <c r="F512" s="67" t="s">
        <v>71</v>
      </c>
      <c r="G512" s="67" t="s">
        <v>47</v>
      </c>
      <c r="H512" s="67" t="s">
        <v>87</v>
      </c>
      <c r="I512" s="71">
        <v>23</v>
      </c>
      <c r="J512" s="72">
        <v>310</v>
      </c>
      <c r="K512" s="73">
        <v>0.1</v>
      </c>
      <c r="L512" s="72">
        <v>160</v>
      </c>
      <c r="M512" s="68">
        <f t="shared" si="37"/>
        <v>6417</v>
      </c>
      <c r="N512" s="68">
        <f t="shared" si="38"/>
        <v>3680</v>
      </c>
      <c r="O512" s="68">
        <f t="shared" si="39"/>
        <v>2737</v>
      </c>
    </row>
    <row r="513" spans="1:15" x14ac:dyDescent="0.3">
      <c r="A513" s="67" t="s">
        <v>607</v>
      </c>
      <c r="B513" s="70">
        <v>45613</v>
      </c>
      <c r="C513" s="67">
        <f t="shared" si="35"/>
        <v>2024</v>
      </c>
      <c r="D513" s="67" t="str">
        <f t="shared" si="36"/>
        <v>11 Nov</v>
      </c>
      <c r="E513" s="67" t="s">
        <v>42</v>
      </c>
      <c r="F513" s="67" t="s">
        <v>69</v>
      </c>
      <c r="G513" s="67" t="s">
        <v>60</v>
      </c>
      <c r="H513" s="67" t="s">
        <v>89</v>
      </c>
      <c r="I513" s="71">
        <v>2</v>
      </c>
      <c r="J513" s="72">
        <v>24700</v>
      </c>
      <c r="K513" s="73">
        <v>0.1</v>
      </c>
      <c r="L513" s="72">
        <v>18000</v>
      </c>
      <c r="M513" s="68">
        <f t="shared" si="37"/>
        <v>44460</v>
      </c>
      <c r="N513" s="68">
        <f t="shared" si="38"/>
        <v>36000</v>
      </c>
      <c r="O513" s="68">
        <f t="shared" si="39"/>
        <v>8460</v>
      </c>
    </row>
    <row r="514" spans="1:15" x14ac:dyDescent="0.3">
      <c r="A514" s="67" t="s">
        <v>608</v>
      </c>
      <c r="B514" s="70">
        <v>45614</v>
      </c>
      <c r="C514" s="67">
        <f t="shared" ref="C514:C577" si="40">YEAR(B514)</f>
        <v>2024</v>
      </c>
      <c r="D514" s="67" t="str">
        <f t="shared" ref="D514:D577" si="41">CHOOSE(MONTH(B514),"01 Jan","02 Feb","03 Mar","04 Apr","05 May","06 Jun","07 Jul","08 Aug","09 Sep","10 Oct","11 Nov","12 Dec")</f>
        <v>11 Nov</v>
      </c>
      <c r="E514" s="67" t="s">
        <v>39</v>
      </c>
      <c r="F514" s="67" t="s">
        <v>66</v>
      </c>
      <c r="G514" s="67" t="s">
        <v>38</v>
      </c>
      <c r="H514" s="67" t="s">
        <v>100</v>
      </c>
      <c r="I514" s="71">
        <v>2</v>
      </c>
      <c r="J514" s="72">
        <v>14460</v>
      </c>
      <c r="K514" s="73">
        <v>0.05</v>
      </c>
      <c r="L514" s="72">
        <v>9500</v>
      </c>
      <c r="M514" s="68">
        <f t="shared" ref="M514:M577" si="42">I514*J514*(1-K514)</f>
        <v>27474</v>
      </c>
      <c r="N514" s="68">
        <f t="shared" ref="N514:N577" si="43">I514*L514</f>
        <v>19000</v>
      </c>
      <c r="O514" s="68">
        <f t="shared" ref="O514:O577" si="44">M514-N514</f>
        <v>8474</v>
      </c>
    </row>
    <row r="515" spans="1:15" x14ac:dyDescent="0.3">
      <c r="A515" s="67" t="s">
        <v>609</v>
      </c>
      <c r="B515" s="70">
        <v>45614</v>
      </c>
      <c r="C515" s="67">
        <f t="shared" si="40"/>
        <v>2024</v>
      </c>
      <c r="D515" s="67" t="str">
        <f t="shared" si="41"/>
        <v>11 Nov</v>
      </c>
      <c r="E515" s="67" t="s">
        <v>45</v>
      </c>
      <c r="F515" s="67" t="s">
        <v>66</v>
      </c>
      <c r="G515" s="67" t="s">
        <v>38</v>
      </c>
      <c r="H515" s="67" t="s">
        <v>87</v>
      </c>
      <c r="I515" s="71">
        <v>3</v>
      </c>
      <c r="J515" s="72">
        <v>13490</v>
      </c>
      <c r="K515" s="73">
        <v>0.05</v>
      </c>
      <c r="L515" s="72">
        <v>9500</v>
      </c>
      <c r="M515" s="68">
        <f t="shared" si="42"/>
        <v>38446.5</v>
      </c>
      <c r="N515" s="68">
        <f t="shared" si="43"/>
        <v>28500</v>
      </c>
      <c r="O515" s="68">
        <f t="shared" si="44"/>
        <v>9946.5</v>
      </c>
    </row>
    <row r="516" spans="1:15" x14ac:dyDescent="0.3">
      <c r="A516" s="67" t="s">
        <v>610</v>
      </c>
      <c r="B516" s="70">
        <v>45615</v>
      </c>
      <c r="C516" s="67">
        <f t="shared" si="40"/>
        <v>2024</v>
      </c>
      <c r="D516" s="67" t="str">
        <f t="shared" si="41"/>
        <v>11 Nov</v>
      </c>
      <c r="E516" s="67" t="s">
        <v>45</v>
      </c>
      <c r="F516" s="67" t="s">
        <v>69</v>
      </c>
      <c r="G516" s="67" t="s">
        <v>60</v>
      </c>
      <c r="H516" s="67" t="s">
        <v>87</v>
      </c>
      <c r="I516" s="71">
        <v>3</v>
      </c>
      <c r="J516" s="72">
        <v>24340</v>
      </c>
      <c r="K516" s="73">
        <v>0</v>
      </c>
      <c r="L516" s="72">
        <v>18000</v>
      </c>
      <c r="M516" s="68">
        <f t="shared" si="42"/>
        <v>73020</v>
      </c>
      <c r="N516" s="68">
        <f t="shared" si="43"/>
        <v>54000</v>
      </c>
      <c r="O516" s="68">
        <f t="shared" si="44"/>
        <v>19020</v>
      </c>
    </row>
    <row r="517" spans="1:15" x14ac:dyDescent="0.3">
      <c r="A517" s="67" t="s">
        <v>611</v>
      </c>
      <c r="B517" s="70">
        <v>45616</v>
      </c>
      <c r="C517" s="67">
        <f t="shared" si="40"/>
        <v>2024</v>
      </c>
      <c r="D517" s="67" t="str">
        <f t="shared" si="41"/>
        <v>11 Nov</v>
      </c>
      <c r="E517" s="67" t="s">
        <v>42</v>
      </c>
      <c r="F517" s="67" t="s">
        <v>66</v>
      </c>
      <c r="G517" s="67" t="s">
        <v>65</v>
      </c>
      <c r="H517" s="67" t="s">
        <v>112</v>
      </c>
      <c r="I517" s="71">
        <v>2</v>
      </c>
      <c r="J517" s="72">
        <v>13800</v>
      </c>
      <c r="K517" s="73">
        <v>0</v>
      </c>
      <c r="L517" s="72">
        <v>9000</v>
      </c>
      <c r="M517" s="68">
        <f t="shared" si="42"/>
        <v>27600</v>
      </c>
      <c r="N517" s="68">
        <f t="shared" si="43"/>
        <v>18000</v>
      </c>
      <c r="O517" s="68">
        <f t="shared" si="44"/>
        <v>9600</v>
      </c>
    </row>
    <row r="518" spans="1:15" x14ac:dyDescent="0.3">
      <c r="A518" s="67" t="s">
        <v>612</v>
      </c>
      <c r="B518" s="70">
        <v>45616</v>
      </c>
      <c r="C518" s="67">
        <f t="shared" si="40"/>
        <v>2024</v>
      </c>
      <c r="D518" s="67" t="str">
        <f t="shared" si="41"/>
        <v>11 Nov</v>
      </c>
      <c r="E518" s="67" t="s">
        <v>42</v>
      </c>
      <c r="F518" s="67" t="s">
        <v>69</v>
      </c>
      <c r="G518" s="67" t="s">
        <v>68</v>
      </c>
      <c r="H518" s="67" t="s">
        <v>89</v>
      </c>
      <c r="I518" s="71">
        <v>3</v>
      </c>
      <c r="J518" s="72">
        <v>3460</v>
      </c>
      <c r="K518" s="73">
        <v>0</v>
      </c>
      <c r="L518" s="72">
        <v>2000</v>
      </c>
      <c r="M518" s="68">
        <f t="shared" si="42"/>
        <v>10380</v>
      </c>
      <c r="N518" s="68">
        <f t="shared" si="43"/>
        <v>6000</v>
      </c>
      <c r="O518" s="68">
        <f t="shared" si="44"/>
        <v>4380</v>
      </c>
    </row>
    <row r="519" spans="1:15" x14ac:dyDescent="0.3">
      <c r="A519" s="67" t="s">
        <v>613</v>
      </c>
      <c r="B519" s="70">
        <v>45616</v>
      </c>
      <c r="C519" s="67">
        <f t="shared" si="40"/>
        <v>2024</v>
      </c>
      <c r="D519" s="67" t="str">
        <f t="shared" si="41"/>
        <v>11 Nov</v>
      </c>
      <c r="E519" s="67" t="s">
        <v>36</v>
      </c>
      <c r="F519" s="67" t="s">
        <v>66</v>
      </c>
      <c r="G519" s="67" t="s">
        <v>53</v>
      </c>
      <c r="H519" s="67" t="s">
        <v>91</v>
      </c>
      <c r="I519" s="71">
        <v>2</v>
      </c>
      <c r="J519" s="72">
        <v>11500</v>
      </c>
      <c r="K519" s="73">
        <v>0.05</v>
      </c>
      <c r="L519" s="72">
        <v>8000</v>
      </c>
      <c r="M519" s="68">
        <f t="shared" si="42"/>
        <v>21850</v>
      </c>
      <c r="N519" s="68">
        <f t="shared" si="43"/>
        <v>16000</v>
      </c>
      <c r="O519" s="68">
        <f t="shared" si="44"/>
        <v>5850</v>
      </c>
    </row>
    <row r="520" spans="1:15" x14ac:dyDescent="0.3">
      <c r="A520" s="67" t="s">
        <v>614</v>
      </c>
      <c r="B520" s="70">
        <v>45616</v>
      </c>
      <c r="C520" s="67">
        <f t="shared" si="40"/>
        <v>2024</v>
      </c>
      <c r="D520" s="67" t="str">
        <f t="shared" si="41"/>
        <v>11 Nov</v>
      </c>
      <c r="E520" s="67" t="s">
        <v>42</v>
      </c>
      <c r="F520" s="67" t="s">
        <v>66</v>
      </c>
      <c r="G520" s="67" t="s">
        <v>38</v>
      </c>
      <c r="H520" s="67" t="s">
        <v>112</v>
      </c>
      <c r="I520" s="71">
        <v>3</v>
      </c>
      <c r="J520" s="72">
        <v>13310</v>
      </c>
      <c r="K520" s="73">
        <v>0.15</v>
      </c>
      <c r="L520" s="72">
        <v>9500</v>
      </c>
      <c r="M520" s="68">
        <f t="shared" si="42"/>
        <v>33940.5</v>
      </c>
      <c r="N520" s="68">
        <f t="shared" si="43"/>
        <v>28500</v>
      </c>
      <c r="O520" s="68">
        <f t="shared" si="44"/>
        <v>5440.5</v>
      </c>
    </row>
    <row r="521" spans="1:15" x14ac:dyDescent="0.3">
      <c r="A521" s="67" t="s">
        <v>615</v>
      </c>
      <c r="B521" s="70">
        <v>45617</v>
      </c>
      <c r="C521" s="67">
        <f t="shared" si="40"/>
        <v>2024</v>
      </c>
      <c r="D521" s="67" t="str">
        <f t="shared" si="41"/>
        <v>11 Nov</v>
      </c>
      <c r="E521" s="67" t="s">
        <v>42</v>
      </c>
      <c r="F521" s="67" t="s">
        <v>69</v>
      </c>
      <c r="G521" s="67" t="s">
        <v>60</v>
      </c>
      <c r="H521" s="67" t="s">
        <v>89</v>
      </c>
      <c r="I521" s="71">
        <v>3</v>
      </c>
      <c r="J521" s="72">
        <v>22920</v>
      </c>
      <c r="K521" s="73">
        <v>0</v>
      </c>
      <c r="L521" s="72">
        <v>18000</v>
      </c>
      <c r="M521" s="68">
        <f t="shared" si="42"/>
        <v>68760</v>
      </c>
      <c r="N521" s="68">
        <f t="shared" si="43"/>
        <v>54000</v>
      </c>
      <c r="O521" s="68">
        <f t="shared" si="44"/>
        <v>14760</v>
      </c>
    </row>
    <row r="522" spans="1:15" x14ac:dyDescent="0.3">
      <c r="A522" s="67" t="s">
        <v>616</v>
      </c>
      <c r="B522" s="70">
        <v>45618</v>
      </c>
      <c r="C522" s="67">
        <f t="shared" si="40"/>
        <v>2024</v>
      </c>
      <c r="D522" s="67" t="str">
        <f t="shared" si="41"/>
        <v>11 Nov</v>
      </c>
      <c r="E522" s="67" t="s">
        <v>45</v>
      </c>
      <c r="F522" s="67" t="s">
        <v>69</v>
      </c>
      <c r="G522" s="67" t="s">
        <v>60</v>
      </c>
      <c r="H522" s="67" t="s">
        <v>87</v>
      </c>
      <c r="I522" s="71">
        <v>3</v>
      </c>
      <c r="J522" s="72">
        <v>23910</v>
      </c>
      <c r="K522" s="73">
        <v>0.05</v>
      </c>
      <c r="L522" s="72">
        <v>18000</v>
      </c>
      <c r="M522" s="68">
        <f t="shared" si="42"/>
        <v>68143.5</v>
      </c>
      <c r="N522" s="68">
        <f t="shared" si="43"/>
        <v>54000</v>
      </c>
      <c r="O522" s="68">
        <f t="shared" si="44"/>
        <v>14143.5</v>
      </c>
    </row>
    <row r="523" spans="1:15" x14ac:dyDescent="0.3">
      <c r="A523" s="67" t="s">
        <v>617</v>
      </c>
      <c r="B523" s="70">
        <v>45621</v>
      </c>
      <c r="C523" s="67">
        <f t="shared" si="40"/>
        <v>2024</v>
      </c>
      <c r="D523" s="67" t="str">
        <f t="shared" si="41"/>
        <v>11 Nov</v>
      </c>
      <c r="E523" s="67" t="s">
        <v>45</v>
      </c>
      <c r="F523" s="67" t="s">
        <v>69</v>
      </c>
      <c r="G523" s="67" t="s">
        <v>50</v>
      </c>
      <c r="H523" s="67" t="s">
        <v>93</v>
      </c>
      <c r="I523" s="71">
        <v>1</v>
      </c>
      <c r="J523" s="72">
        <v>53840</v>
      </c>
      <c r="K523" s="73">
        <v>0.15</v>
      </c>
      <c r="L523" s="72">
        <v>42000</v>
      </c>
      <c r="M523" s="68">
        <f t="shared" si="42"/>
        <v>45764</v>
      </c>
      <c r="N523" s="68">
        <f t="shared" si="43"/>
        <v>42000</v>
      </c>
      <c r="O523" s="68">
        <f t="shared" si="44"/>
        <v>3764</v>
      </c>
    </row>
    <row r="524" spans="1:15" x14ac:dyDescent="0.3">
      <c r="A524" s="67" t="s">
        <v>618</v>
      </c>
      <c r="B524" s="70">
        <v>45621</v>
      </c>
      <c r="C524" s="67">
        <f t="shared" si="40"/>
        <v>2024</v>
      </c>
      <c r="D524" s="67" t="str">
        <f t="shared" si="41"/>
        <v>11 Nov</v>
      </c>
      <c r="E524" s="67" t="s">
        <v>48</v>
      </c>
      <c r="F524" s="67" t="s">
        <v>69</v>
      </c>
      <c r="G524" s="67" t="s">
        <v>60</v>
      </c>
      <c r="H524" s="67" t="s">
        <v>95</v>
      </c>
      <c r="I524" s="71">
        <v>3</v>
      </c>
      <c r="J524" s="72">
        <v>23370</v>
      </c>
      <c r="K524" s="73">
        <v>0.05</v>
      </c>
      <c r="L524" s="72">
        <v>18000</v>
      </c>
      <c r="M524" s="68">
        <f t="shared" si="42"/>
        <v>66604.5</v>
      </c>
      <c r="N524" s="68">
        <f t="shared" si="43"/>
        <v>54000</v>
      </c>
      <c r="O524" s="68">
        <f t="shared" si="44"/>
        <v>12604.5</v>
      </c>
    </row>
    <row r="525" spans="1:15" x14ac:dyDescent="0.3">
      <c r="A525" s="67" t="s">
        <v>619</v>
      </c>
      <c r="B525" s="70">
        <v>45622</v>
      </c>
      <c r="C525" s="67">
        <f t="shared" si="40"/>
        <v>2024</v>
      </c>
      <c r="D525" s="67" t="str">
        <f t="shared" si="41"/>
        <v>11 Nov</v>
      </c>
      <c r="E525" s="67" t="s">
        <v>39</v>
      </c>
      <c r="F525" s="67" t="s">
        <v>69</v>
      </c>
      <c r="G525" s="67" t="s">
        <v>60</v>
      </c>
      <c r="H525" s="67" t="s">
        <v>100</v>
      </c>
      <c r="I525" s="71">
        <v>3</v>
      </c>
      <c r="J525" s="72">
        <v>24510</v>
      </c>
      <c r="K525" s="73">
        <v>0</v>
      </c>
      <c r="L525" s="72">
        <v>18000</v>
      </c>
      <c r="M525" s="68">
        <f t="shared" si="42"/>
        <v>73530</v>
      </c>
      <c r="N525" s="68">
        <f t="shared" si="43"/>
        <v>54000</v>
      </c>
      <c r="O525" s="68">
        <f t="shared" si="44"/>
        <v>19530</v>
      </c>
    </row>
    <row r="526" spans="1:15" x14ac:dyDescent="0.3">
      <c r="A526" s="67" t="s">
        <v>620</v>
      </c>
      <c r="B526" s="70">
        <v>45622</v>
      </c>
      <c r="C526" s="67">
        <f t="shared" si="40"/>
        <v>2024</v>
      </c>
      <c r="D526" s="67" t="str">
        <f t="shared" si="41"/>
        <v>11 Nov</v>
      </c>
      <c r="E526" s="67" t="s">
        <v>42</v>
      </c>
      <c r="F526" s="67" t="s">
        <v>66</v>
      </c>
      <c r="G526" s="67" t="s">
        <v>38</v>
      </c>
      <c r="H526" s="67" t="s">
        <v>89</v>
      </c>
      <c r="I526" s="71">
        <v>3</v>
      </c>
      <c r="J526" s="72">
        <v>14000</v>
      </c>
      <c r="K526" s="73">
        <v>0</v>
      </c>
      <c r="L526" s="72">
        <v>9500</v>
      </c>
      <c r="M526" s="68">
        <f t="shared" si="42"/>
        <v>42000</v>
      </c>
      <c r="N526" s="68">
        <f t="shared" si="43"/>
        <v>28500</v>
      </c>
      <c r="O526" s="68">
        <f t="shared" si="44"/>
        <v>13500</v>
      </c>
    </row>
    <row r="527" spans="1:15" x14ac:dyDescent="0.3">
      <c r="A527" s="67" t="s">
        <v>621</v>
      </c>
      <c r="B527" s="70">
        <v>45624</v>
      </c>
      <c r="C527" s="67">
        <f t="shared" si="40"/>
        <v>2024</v>
      </c>
      <c r="D527" s="67" t="str">
        <f t="shared" si="41"/>
        <v>11 Nov</v>
      </c>
      <c r="E527" s="67" t="s">
        <v>48</v>
      </c>
      <c r="F527" s="67" t="s">
        <v>69</v>
      </c>
      <c r="G527" s="67" t="s">
        <v>60</v>
      </c>
      <c r="H527" s="67" t="s">
        <v>95</v>
      </c>
      <c r="I527" s="71">
        <v>2</v>
      </c>
      <c r="J527" s="72">
        <v>24570</v>
      </c>
      <c r="K527" s="73">
        <v>0.05</v>
      </c>
      <c r="L527" s="72">
        <v>18000</v>
      </c>
      <c r="M527" s="68">
        <f t="shared" si="42"/>
        <v>46683</v>
      </c>
      <c r="N527" s="68">
        <f t="shared" si="43"/>
        <v>36000</v>
      </c>
      <c r="O527" s="68">
        <f t="shared" si="44"/>
        <v>10683</v>
      </c>
    </row>
    <row r="528" spans="1:15" x14ac:dyDescent="0.3">
      <c r="A528" s="67" t="s">
        <v>622</v>
      </c>
      <c r="B528" s="70">
        <v>45624</v>
      </c>
      <c r="C528" s="67">
        <f t="shared" si="40"/>
        <v>2024</v>
      </c>
      <c r="D528" s="67" t="str">
        <f t="shared" si="41"/>
        <v>11 Nov</v>
      </c>
      <c r="E528" s="67" t="s">
        <v>39</v>
      </c>
      <c r="F528" s="67" t="s">
        <v>70</v>
      </c>
      <c r="G528" s="67" t="s">
        <v>58</v>
      </c>
      <c r="H528" s="67" t="s">
        <v>100</v>
      </c>
      <c r="I528" s="71">
        <v>2</v>
      </c>
      <c r="J528" s="72">
        <v>9440</v>
      </c>
      <c r="K528" s="73">
        <v>0</v>
      </c>
      <c r="L528" s="72">
        <v>6000</v>
      </c>
      <c r="M528" s="68">
        <f t="shared" si="42"/>
        <v>18880</v>
      </c>
      <c r="N528" s="68">
        <f t="shared" si="43"/>
        <v>12000</v>
      </c>
      <c r="O528" s="68">
        <f t="shared" si="44"/>
        <v>6880</v>
      </c>
    </row>
    <row r="529" spans="1:15" x14ac:dyDescent="0.3">
      <c r="A529" s="67" t="s">
        <v>623</v>
      </c>
      <c r="B529" s="70">
        <v>45627</v>
      </c>
      <c r="C529" s="67">
        <f t="shared" si="40"/>
        <v>2024</v>
      </c>
      <c r="D529" s="67" t="str">
        <f t="shared" si="41"/>
        <v>12 Dec</v>
      </c>
      <c r="E529" s="67" t="s">
        <v>45</v>
      </c>
      <c r="F529" s="67" t="s">
        <v>71</v>
      </c>
      <c r="G529" s="67" t="s">
        <v>47</v>
      </c>
      <c r="H529" s="67" t="s">
        <v>87</v>
      </c>
      <c r="I529" s="71">
        <v>42</v>
      </c>
      <c r="J529" s="72">
        <v>300</v>
      </c>
      <c r="K529" s="73">
        <v>0.05</v>
      </c>
      <c r="L529" s="72">
        <v>160</v>
      </c>
      <c r="M529" s="68">
        <f t="shared" si="42"/>
        <v>11970</v>
      </c>
      <c r="N529" s="68">
        <f t="shared" si="43"/>
        <v>6720</v>
      </c>
      <c r="O529" s="68">
        <f t="shared" si="44"/>
        <v>5250</v>
      </c>
    </row>
    <row r="530" spans="1:15" x14ac:dyDescent="0.3">
      <c r="A530" s="67" t="s">
        <v>624</v>
      </c>
      <c r="B530" s="70">
        <v>45628</v>
      </c>
      <c r="C530" s="67">
        <f t="shared" si="40"/>
        <v>2024</v>
      </c>
      <c r="D530" s="67" t="str">
        <f t="shared" si="41"/>
        <v>12 Dec</v>
      </c>
      <c r="E530" s="67" t="s">
        <v>48</v>
      </c>
      <c r="F530" s="67" t="s">
        <v>66</v>
      </c>
      <c r="G530" s="67" t="s">
        <v>65</v>
      </c>
      <c r="H530" s="67" t="s">
        <v>98</v>
      </c>
      <c r="I530" s="71">
        <v>2</v>
      </c>
      <c r="J530" s="72">
        <v>13350</v>
      </c>
      <c r="K530" s="73">
        <v>0.1</v>
      </c>
      <c r="L530" s="72">
        <v>9000</v>
      </c>
      <c r="M530" s="68">
        <f t="shared" si="42"/>
        <v>24030</v>
      </c>
      <c r="N530" s="68">
        <f t="shared" si="43"/>
        <v>18000</v>
      </c>
      <c r="O530" s="68">
        <f t="shared" si="44"/>
        <v>6030</v>
      </c>
    </row>
    <row r="531" spans="1:15" x14ac:dyDescent="0.3">
      <c r="A531" s="67" t="s">
        <v>625</v>
      </c>
      <c r="B531" s="70">
        <v>45629</v>
      </c>
      <c r="C531" s="67">
        <f t="shared" si="40"/>
        <v>2024</v>
      </c>
      <c r="D531" s="67" t="str">
        <f t="shared" si="41"/>
        <v>12 Dec</v>
      </c>
      <c r="E531" s="67" t="s">
        <v>45</v>
      </c>
      <c r="F531" s="67" t="s">
        <v>71</v>
      </c>
      <c r="G531" s="67" t="s">
        <v>55</v>
      </c>
      <c r="H531" s="67" t="s">
        <v>87</v>
      </c>
      <c r="I531" s="71">
        <v>12</v>
      </c>
      <c r="J531" s="72">
        <v>450</v>
      </c>
      <c r="K531" s="73">
        <v>0</v>
      </c>
      <c r="L531" s="72">
        <v>250</v>
      </c>
      <c r="M531" s="68">
        <f t="shared" si="42"/>
        <v>5400</v>
      </c>
      <c r="N531" s="68">
        <f t="shared" si="43"/>
        <v>3000</v>
      </c>
      <c r="O531" s="68">
        <f t="shared" si="44"/>
        <v>2400</v>
      </c>
    </row>
    <row r="532" spans="1:15" x14ac:dyDescent="0.3">
      <c r="A532" s="67" t="s">
        <v>626</v>
      </c>
      <c r="B532" s="70">
        <v>45629</v>
      </c>
      <c r="C532" s="67">
        <f t="shared" si="40"/>
        <v>2024</v>
      </c>
      <c r="D532" s="67" t="str">
        <f t="shared" si="41"/>
        <v>12 Dec</v>
      </c>
      <c r="E532" s="67" t="s">
        <v>39</v>
      </c>
      <c r="F532" s="67" t="s">
        <v>66</v>
      </c>
      <c r="G532" s="67" t="s">
        <v>65</v>
      </c>
      <c r="H532" s="67" t="s">
        <v>100</v>
      </c>
      <c r="I532" s="71">
        <v>3</v>
      </c>
      <c r="J532" s="72">
        <v>14000</v>
      </c>
      <c r="K532" s="73">
        <v>0</v>
      </c>
      <c r="L532" s="72">
        <v>9000</v>
      </c>
      <c r="M532" s="68">
        <f t="shared" si="42"/>
        <v>42000</v>
      </c>
      <c r="N532" s="68">
        <f t="shared" si="43"/>
        <v>27000</v>
      </c>
      <c r="O532" s="68">
        <f t="shared" si="44"/>
        <v>15000</v>
      </c>
    </row>
    <row r="533" spans="1:15" x14ac:dyDescent="0.3">
      <c r="A533" s="67" t="s">
        <v>627</v>
      </c>
      <c r="B533" s="70">
        <v>45629</v>
      </c>
      <c r="C533" s="67">
        <f t="shared" si="40"/>
        <v>2024</v>
      </c>
      <c r="D533" s="67" t="str">
        <f t="shared" si="41"/>
        <v>12 Dec</v>
      </c>
      <c r="E533" s="67" t="s">
        <v>48</v>
      </c>
      <c r="F533" s="67" t="s">
        <v>69</v>
      </c>
      <c r="G533" s="67" t="s">
        <v>50</v>
      </c>
      <c r="H533" s="67" t="s">
        <v>98</v>
      </c>
      <c r="I533" s="71">
        <v>1</v>
      </c>
      <c r="J533" s="72">
        <v>55540</v>
      </c>
      <c r="K533" s="73">
        <v>0.1</v>
      </c>
      <c r="L533" s="72">
        <v>42000</v>
      </c>
      <c r="M533" s="68">
        <f t="shared" si="42"/>
        <v>49986</v>
      </c>
      <c r="N533" s="68">
        <f t="shared" si="43"/>
        <v>42000</v>
      </c>
      <c r="O533" s="68">
        <f t="shared" si="44"/>
        <v>7986</v>
      </c>
    </row>
    <row r="534" spans="1:15" x14ac:dyDescent="0.3">
      <c r="A534" s="67" t="s">
        <v>628</v>
      </c>
      <c r="B534" s="70">
        <v>45631</v>
      </c>
      <c r="C534" s="67">
        <f t="shared" si="40"/>
        <v>2024</v>
      </c>
      <c r="D534" s="67" t="str">
        <f t="shared" si="41"/>
        <v>12 Dec</v>
      </c>
      <c r="E534" s="67" t="s">
        <v>36</v>
      </c>
      <c r="F534" s="67" t="s">
        <v>66</v>
      </c>
      <c r="G534" s="67" t="s">
        <v>38</v>
      </c>
      <c r="H534" s="67" t="s">
        <v>91</v>
      </c>
      <c r="I534" s="71">
        <v>1</v>
      </c>
      <c r="J534" s="72">
        <v>13530</v>
      </c>
      <c r="K534" s="73">
        <v>0.05</v>
      </c>
      <c r="L534" s="72">
        <v>9500</v>
      </c>
      <c r="M534" s="68">
        <f t="shared" si="42"/>
        <v>12853.5</v>
      </c>
      <c r="N534" s="68">
        <f t="shared" si="43"/>
        <v>9500</v>
      </c>
      <c r="O534" s="68">
        <f t="shared" si="44"/>
        <v>3353.5</v>
      </c>
    </row>
    <row r="535" spans="1:15" x14ac:dyDescent="0.3">
      <c r="A535" s="67" t="s">
        <v>629</v>
      </c>
      <c r="B535" s="70">
        <v>45632</v>
      </c>
      <c r="C535" s="67">
        <f t="shared" si="40"/>
        <v>2024</v>
      </c>
      <c r="D535" s="67" t="str">
        <f t="shared" si="41"/>
        <v>12 Dec</v>
      </c>
      <c r="E535" s="67" t="s">
        <v>39</v>
      </c>
      <c r="F535" s="67" t="s">
        <v>71</v>
      </c>
      <c r="G535" s="67" t="s">
        <v>55</v>
      </c>
      <c r="H535" s="67" t="s">
        <v>107</v>
      </c>
      <c r="I535" s="71">
        <v>30</v>
      </c>
      <c r="J535" s="72">
        <v>440</v>
      </c>
      <c r="K535" s="73">
        <v>0</v>
      </c>
      <c r="L535" s="72">
        <v>250</v>
      </c>
      <c r="M535" s="68">
        <f t="shared" si="42"/>
        <v>13200</v>
      </c>
      <c r="N535" s="68">
        <f t="shared" si="43"/>
        <v>7500</v>
      </c>
      <c r="O535" s="68">
        <f t="shared" si="44"/>
        <v>5700</v>
      </c>
    </row>
    <row r="536" spans="1:15" x14ac:dyDescent="0.3">
      <c r="A536" s="67" t="s">
        <v>630</v>
      </c>
      <c r="B536" s="70">
        <v>45635</v>
      </c>
      <c r="C536" s="67">
        <f t="shared" si="40"/>
        <v>2024</v>
      </c>
      <c r="D536" s="67" t="str">
        <f t="shared" si="41"/>
        <v>12 Dec</v>
      </c>
      <c r="E536" s="67" t="s">
        <v>48</v>
      </c>
      <c r="F536" s="67" t="s">
        <v>71</v>
      </c>
      <c r="G536" s="67" t="s">
        <v>44</v>
      </c>
      <c r="H536" s="67" t="s">
        <v>98</v>
      </c>
      <c r="I536" s="71">
        <v>15</v>
      </c>
      <c r="J536" s="72">
        <v>730</v>
      </c>
      <c r="K536" s="73">
        <v>0</v>
      </c>
      <c r="L536" s="72">
        <v>380</v>
      </c>
      <c r="M536" s="68">
        <f t="shared" si="42"/>
        <v>10950</v>
      </c>
      <c r="N536" s="68">
        <f t="shared" si="43"/>
        <v>5700</v>
      </c>
      <c r="O536" s="68">
        <f t="shared" si="44"/>
        <v>5250</v>
      </c>
    </row>
    <row r="537" spans="1:15" x14ac:dyDescent="0.3">
      <c r="A537" s="67" t="s">
        <v>631</v>
      </c>
      <c r="B537" s="70">
        <v>45637</v>
      </c>
      <c r="C537" s="67">
        <f t="shared" si="40"/>
        <v>2024</v>
      </c>
      <c r="D537" s="67" t="str">
        <f t="shared" si="41"/>
        <v>12 Dec</v>
      </c>
      <c r="E537" s="67" t="s">
        <v>39</v>
      </c>
      <c r="F537" s="67" t="s">
        <v>69</v>
      </c>
      <c r="G537" s="67" t="s">
        <v>68</v>
      </c>
      <c r="H537" s="67" t="s">
        <v>100</v>
      </c>
      <c r="I537" s="71">
        <v>3</v>
      </c>
      <c r="J537" s="72">
        <v>3620</v>
      </c>
      <c r="K537" s="73">
        <v>0.15</v>
      </c>
      <c r="L537" s="72">
        <v>2000</v>
      </c>
      <c r="M537" s="68">
        <f t="shared" si="42"/>
        <v>9231</v>
      </c>
      <c r="N537" s="68">
        <f t="shared" si="43"/>
        <v>6000</v>
      </c>
      <c r="O537" s="68">
        <f t="shared" si="44"/>
        <v>3231</v>
      </c>
    </row>
    <row r="538" spans="1:15" x14ac:dyDescent="0.3">
      <c r="A538" s="67" t="s">
        <v>632</v>
      </c>
      <c r="B538" s="70">
        <v>45638</v>
      </c>
      <c r="C538" s="67">
        <f t="shared" si="40"/>
        <v>2024</v>
      </c>
      <c r="D538" s="67" t="str">
        <f t="shared" si="41"/>
        <v>12 Dec</v>
      </c>
      <c r="E538" s="67" t="s">
        <v>48</v>
      </c>
      <c r="F538" s="67" t="s">
        <v>66</v>
      </c>
      <c r="G538" s="67" t="s">
        <v>65</v>
      </c>
      <c r="H538" s="67" t="s">
        <v>98</v>
      </c>
      <c r="I538" s="71">
        <v>3</v>
      </c>
      <c r="J538" s="72">
        <v>12860</v>
      </c>
      <c r="K538" s="73">
        <v>0.15</v>
      </c>
      <c r="L538" s="72">
        <v>9000</v>
      </c>
      <c r="M538" s="68">
        <f t="shared" si="42"/>
        <v>32793</v>
      </c>
      <c r="N538" s="68">
        <f t="shared" si="43"/>
        <v>27000</v>
      </c>
      <c r="O538" s="68">
        <f t="shared" si="44"/>
        <v>5793</v>
      </c>
    </row>
    <row r="539" spans="1:15" x14ac:dyDescent="0.3">
      <c r="A539" s="67" t="s">
        <v>633</v>
      </c>
      <c r="B539" s="70">
        <v>45639</v>
      </c>
      <c r="C539" s="67">
        <f t="shared" si="40"/>
        <v>2024</v>
      </c>
      <c r="D539" s="67" t="str">
        <f t="shared" si="41"/>
        <v>12 Dec</v>
      </c>
      <c r="E539" s="67" t="s">
        <v>36</v>
      </c>
      <c r="F539" s="67" t="s">
        <v>66</v>
      </c>
      <c r="G539" s="67" t="s">
        <v>53</v>
      </c>
      <c r="H539" s="67" t="s">
        <v>91</v>
      </c>
      <c r="I539" s="71">
        <v>2</v>
      </c>
      <c r="J539" s="72">
        <v>11250</v>
      </c>
      <c r="K539" s="73">
        <v>0</v>
      </c>
      <c r="L539" s="72">
        <v>8000</v>
      </c>
      <c r="M539" s="68">
        <f t="shared" si="42"/>
        <v>22500</v>
      </c>
      <c r="N539" s="68">
        <f t="shared" si="43"/>
        <v>16000</v>
      </c>
      <c r="O539" s="68">
        <f t="shared" si="44"/>
        <v>6500</v>
      </c>
    </row>
    <row r="540" spans="1:15" x14ac:dyDescent="0.3">
      <c r="A540" s="67" t="s">
        <v>634</v>
      </c>
      <c r="B540" s="70">
        <v>45639</v>
      </c>
      <c r="C540" s="67">
        <f t="shared" si="40"/>
        <v>2024</v>
      </c>
      <c r="D540" s="67" t="str">
        <f t="shared" si="41"/>
        <v>12 Dec</v>
      </c>
      <c r="E540" s="67" t="s">
        <v>45</v>
      </c>
      <c r="F540" s="67" t="s">
        <v>70</v>
      </c>
      <c r="G540" s="67" t="s">
        <v>58</v>
      </c>
      <c r="H540" s="67" t="s">
        <v>93</v>
      </c>
      <c r="I540" s="71">
        <v>3</v>
      </c>
      <c r="J540" s="72">
        <v>9060</v>
      </c>
      <c r="K540" s="73">
        <v>0</v>
      </c>
      <c r="L540" s="72">
        <v>6000</v>
      </c>
      <c r="M540" s="68">
        <f t="shared" si="42"/>
        <v>27180</v>
      </c>
      <c r="N540" s="68">
        <f t="shared" si="43"/>
        <v>18000</v>
      </c>
      <c r="O540" s="68">
        <f t="shared" si="44"/>
        <v>9180</v>
      </c>
    </row>
    <row r="541" spans="1:15" x14ac:dyDescent="0.3">
      <c r="A541" s="67" t="s">
        <v>635</v>
      </c>
      <c r="B541" s="70">
        <v>45639</v>
      </c>
      <c r="C541" s="67">
        <f t="shared" si="40"/>
        <v>2024</v>
      </c>
      <c r="D541" s="67" t="str">
        <f t="shared" si="41"/>
        <v>12 Dec</v>
      </c>
      <c r="E541" s="67" t="s">
        <v>42</v>
      </c>
      <c r="F541" s="67" t="s">
        <v>69</v>
      </c>
      <c r="G541" s="67" t="s">
        <v>50</v>
      </c>
      <c r="H541" s="67" t="s">
        <v>112</v>
      </c>
      <c r="I541" s="71">
        <v>1</v>
      </c>
      <c r="J541" s="72">
        <v>52610</v>
      </c>
      <c r="K541" s="73">
        <v>0</v>
      </c>
      <c r="L541" s="72">
        <v>42000</v>
      </c>
      <c r="M541" s="68">
        <f t="shared" si="42"/>
        <v>52610</v>
      </c>
      <c r="N541" s="68">
        <f t="shared" si="43"/>
        <v>42000</v>
      </c>
      <c r="O541" s="68">
        <f t="shared" si="44"/>
        <v>10610</v>
      </c>
    </row>
    <row r="542" spans="1:15" x14ac:dyDescent="0.3">
      <c r="A542" s="67" t="s">
        <v>636</v>
      </c>
      <c r="B542" s="70">
        <v>45640</v>
      </c>
      <c r="C542" s="67">
        <f t="shared" si="40"/>
        <v>2024</v>
      </c>
      <c r="D542" s="67" t="str">
        <f t="shared" si="41"/>
        <v>12 Dec</v>
      </c>
      <c r="E542" s="67" t="s">
        <v>45</v>
      </c>
      <c r="F542" s="67" t="s">
        <v>70</v>
      </c>
      <c r="G542" s="67" t="s">
        <v>41</v>
      </c>
      <c r="H542" s="67" t="s">
        <v>87</v>
      </c>
      <c r="I542" s="71">
        <v>1</v>
      </c>
      <c r="J542" s="72">
        <v>6610</v>
      </c>
      <c r="K542" s="73">
        <v>0</v>
      </c>
      <c r="L542" s="72">
        <v>4200</v>
      </c>
      <c r="M542" s="68">
        <f t="shared" si="42"/>
        <v>6610</v>
      </c>
      <c r="N542" s="68">
        <f t="shared" si="43"/>
        <v>4200</v>
      </c>
      <c r="O542" s="68">
        <f t="shared" si="44"/>
        <v>2410</v>
      </c>
    </row>
    <row r="543" spans="1:15" x14ac:dyDescent="0.3">
      <c r="A543" s="67" t="s">
        <v>637</v>
      </c>
      <c r="B543" s="70">
        <v>45641</v>
      </c>
      <c r="C543" s="67">
        <f t="shared" si="40"/>
        <v>2024</v>
      </c>
      <c r="D543" s="67" t="str">
        <f t="shared" si="41"/>
        <v>12 Dec</v>
      </c>
      <c r="E543" s="67" t="s">
        <v>48</v>
      </c>
      <c r="F543" s="67" t="s">
        <v>69</v>
      </c>
      <c r="G543" s="67" t="s">
        <v>50</v>
      </c>
      <c r="H543" s="67" t="s">
        <v>95</v>
      </c>
      <c r="I543" s="71">
        <v>1</v>
      </c>
      <c r="J543" s="72">
        <v>53380</v>
      </c>
      <c r="K543" s="73">
        <v>0.1</v>
      </c>
      <c r="L543" s="72">
        <v>42000</v>
      </c>
      <c r="M543" s="68">
        <f t="shared" si="42"/>
        <v>48042</v>
      </c>
      <c r="N543" s="68">
        <f t="shared" si="43"/>
        <v>42000</v>
      </c>
      <c r="O543" s="68">
        <f t="shared" si="44"/>
        <v>6042</v>
      </c>
    </row>
    <row r="544" spans="1:15" x14ac:dyDescent="0.3">
      <c r="A544" s="67" t="s">
        <v>638</v>
      </c>
      <c r="B544" s="70">
        <v>45642</v>
      </c>
      <c r="C544" s="67">
        <f t="shared" si="40"/>
        <v>2024</v>
      </c>
      <c r="D544" s="67" t="str">
        <f t="shared" si="41"/>
        <v>12 Dec</v>
      </c>
      <c r="E544" s="67" t="s">
        <v>42</v>
      </c>
      <c r="F544" s="67" t="s">
        <v>71</v>
      </c>
      <c r="G544" s="67" t="s">
        <v>55</v>
      </c>
      <c r="H544" s="67" t="s">
        <v>112</v>
      </c>
      <c r="I544" s="71">
        <v>10</v>
      </c>
      <c r="J544" s="72">
        <v>460</v>
      </c>
      <c r="K544" s="73">
        <v>0.1</v>
      </c>
      <c r="L544" s="72">
        <v>250</v>
      </c>
      <c r="M544" s="68">
        <f t="shared" si="42"/>
        <v>4140</v>
      </c>
      <c r="N544" s="68">
        <f t="shared" si="43"/>
        <v>2500</v>
      </c>
      <c r="O544" s="68">
        <f t="shared" si="44"/>
        <v>1640</v>
      </c>
    </row>
    <row r="545" spans="1:15" x14ac:dyDescent="0.3">
      <c r="A545" s="67" t="s">
        <v>639</v>
      </c>
      <c r="B545" s="70">
        <v>45642</v>
      </c>
      <c r="C545" s="67">
        <f t="shared" si="40"/>
        <v>2024</v>
      </c>
      <c r="D545" s="67" t="str">
        <f t="shared" si="41"/>
        <v>12 Dec</v>
      </c>
      <c r="E545" s="67" t="s">
        <v>48</v>
      </c>
      <c r="F545" s="67" t="s">
        <v>70</v>
      </c>
      <c r="G545" s="67" t="s">
        <v>41</v>
      </c>
      <c r="H545" s="67" t="s">
        <v>95</v>
      </c>
      <c r="I545" s="71">
        <v>2</v>
      </c>
      <c r="J545" s="72">
        <v>6820</v>
      </c>
      <c r="K545" s="73">
        <v>0</v>
      </c>
      <c r="L545" s="72">
        <v>4200</v>
      </c>
      <c r="M545" s="68">
        <f t="shared" si="42"/>
        <v>13640</v>
      </c>
      <c r="N545" s="68">
        <f t="shared" si="43"/>
        <v>8400</v>
      </c>
      <c r="O545" s="68">
        <f t="shared" si="44"/>
        <v>5240</v>
      </c>
    </row>
    <row r="546" spans="1:15" x14ac:dyDescent="0.3">
      <c r="A546" s="67" t="s">
        <v>640</v>
      </c>
      <c r="B546" s="70">
        <v>45642</v>
      </c>
      <c r="C546" s="67">
        <f t="shared" si="40"/>
        <v>2024</v>
      </c>
      <c r="D546" s="67" t="str">
        <f t="shared" si="41"/>
        <v>12 Dec</v>
      </c>
      <c r="E546" s="67" t="s">
        <v>45</v>
      </c>
      <c r="F546" s="67" t="s">
        <v>71</v>
      </c>
      <c r="G546" s="67" t="s">
        <v>55</v>
      </c>
      <c r="H546" s="67" t="s">
        <v>93</v>
      </c>
      <c r="I546" s="71">
        <v>12</v>
      </c>
      <c r="J546" s="72">
        <v>450</v>
      </c>
      <c r="K546" s="73">
        <v>0.05</v>
      </c>
      <c r="L546" s="72">
        <v>250</v>
      </c>
      <c r="M546" s="68">
        <f t="shared" si="42"/>
        <v>5130</v>
      </c>
      <c r="N546" s="68">
        <f t="shared" si="43"/>
        <v>3000</v>
      </c>
      <c r="O546" s="68">
        <f t="shared" si="44"/>
        <v>2130</v>
      </c>
    </row>
    <row r="547" spans="1:15" x14ac:dyDescent="0.3">
      <c r="A547" s="67" t="s">
        <v>641</v>
      </c>
      <c r="B547" s="70">
        <v>45643</v>
      </c>
      <c r="C547" s="67">
        <f t="shared" si="40"/>
        <v>2024</v>
      </c>
      <c r="D547" s="67" t="str">
        <f t="shared" si="41"/>
        <v>12 Dec</v>
      </c>
      <c r="E547" s="67" t="s">
        <v>45</v>
      </c>
      <c r="F547" s="67" t="s">
        <v>69</v>
      </c>
      <c r="G547" s="67" t="s">
        <v>60</v>
      </c>
      <c r="H547" s="67" t="s">
        <v>87</v>
      </c>
      <c r="I547" s="71">
        <v>1</v>
      </c>
      <c r="J547" s="72">
        <v>24420</v>
      </c>
      <c r="K547" s="73">
        <v>0</v>
      </c>
      <c r="L547" s="72">
        <v>18000</v>
      </c>
      <c r="M547" s="68">
        <f t="shared" si="42"/>
        <v>24420</v>
      </c>
      <c r="N547" s="68">
        <f t="shared" si="43"/>
        <v>18000</v>
      </c>
      <c r="O547" s="68">
        <f t="shared" si="44"/>
        <v>6420</v>
      </c>
    </row>
    <row r="548" spans="1:15" x14ac:dyDescent="0.3">
      <c r="A548" s="67" t="s">
        <v>642</v>
      </c>
      <c r="B548" s="70">
        <v>45644</v>
      </c>
      <c r="C548" s="67">
        <f t="shared" si="40"/>
        <v>2024</v>
      </c>
      <c r="D548" s="67" t="str">
        <f t="shared" si="41"/>
        <v>12 Dec</v>
      </c>
      <c r="E548" s="67" t="s">
        <v>42</v>
      </c>
      <c r="F548" s="67" t="s">
        <v>71</v>
      </c>
      <c r="G548" s="67" t="s">
        <v>55</v>
      </c>
      <c r="H548" s="67" t="s">
        <v>89</v>
      </c>
      <c r="I548" s="71">
        <v>12</v>
      </c>
      <c r="J548" s="72">
        <v>460</v>
      </c>
      <c r="K548" s="73">
        <v>0</v>
      </c>
      <c r="L548" s="72">
        <v>250</v>
      </c>
      <c r="M548" s="68">
        <f t="shared" si="42"/>
        <v>5520</v>
      </c>
      <c r="N548" s="68">
        <f t="shared" si="43"/>
        <v>3000</v>
      </c>
      <c r="O548" s="68">
        <f t="shared" si="44"/>
        <v>2520</v>
      </c>
    </row>
    <row r="549" spans="1:15" x14ac:dyDescent="0.3">
      <c r="A549" s="67" t="s">
        <v>643</v>
      </c>
      <c r="B549" s="70">
        <v>45645</v>
      </c>
      <c r="C549" s="67">
        <f t="shared" si="40"/>
        <v>2024</v>
      </c>
      <c r="D549" s="67" t="str">
        <f t="shared" si="41"/>
        <v>12 Dec</v>
      </c>
      <c r="E549" s="67" t="s">
        <v>45</v>
      </c>
      <c r="F549" s="67" t="s">
        <v>69</v>
      </c>
      <c r="G549" s="67" t="s">
        <v>60</v>
      </c>
      <c r="H549" s="67" t="s">
        <v>87</v>
      </c>
      <c r="I549" s="71">
        <v>2</v>
      </c>
      <c r="J549" s="72">
        <v>24260</v>
      </c>
      <c r="K549" s="73">
        <v>0.05</v>
      </c>
      <c r="L549" s="72">
        <v>18000</v>
      </c>
      <c r="M549" s="68">
        <f t="shared" si="42"/>
        <v>46094</v>
      </c>
      <c r="N549" s="68">
        <f t="shared" si="43"/>
        <v>36000</v>
      </c>
      <c r="O549" s="68">
        <f t="shared" si="44"/>
        <v>10094</v>
      </c>
    </row>
    <row r="550" spans="1:15" x14ac:dyDescent="0.3">
      <c r="A550" s="67" t="s">
        <v>644</v>
      </c>
      <c r="B550" s="70">
        <v>45645</v>
      </c>
      <c r="C550" s="67">
        <f t="shared" si="40"/>
        <v>2024</v>
      </c>
      <c r="D550" s="67" t="str">
        <f t="shared" si="41"/>
        <v>12 Dec</v>
      </c>
      <c r="E550" s="67" t="s">
        <v>48</v>
      </c>
      <c r="F550" s="67" t="s">
        <v>71</v>
      </c>
      <c r="G550" s="67" t="s">
        <v>44</v>
      </c>
      <c r="H550" s="67" t="s">
        <v>95</v>
      </c>
      <c r="I550" s="71">
        <v>15</v>
      </c>
      <c r="J550" s="72">
        <v>710</v>
      </c>
      <c r="K550" s="73">
        <v>0.05</v>
      </c>
      <c r="L550" s="72">
        <v>380</v>
      </c>
      <c r="M550" s="68">
        <f t="shared" si="42"/>
        <v>10117.5</v>
      </c>
      <c r="N550" s="68">
        <f t="shared" si="43"/>
        <v>5700</v>
      </c>
      <c r="O550" s="68">
        <f t="shared" si="44"/>
        <v>4417.5</v>
      </c>
    </row>
    <row r="551" spans="1:15" x14ac:dyDescent="0.3">
      <c r="A551" s="67" t="s">
        <v>645</v>
      </c>
      <c r="B551" s="70">
        <v>45645</v>
      </c>
      <c r="C551" s="67">
        <f t="shared" si="40"/>
        <v>2024</v>
      </c>
      <c r="D551" s="67" t="str">
        <f t="shared" si="41"/>
        <v>12 Dec</v>
      </c>
      <c r="E551" s="67" t="s">
        <v>42</v>
      </c>
      <c r="F551" s="67" t="s">
        <v>71</v>
      </c>
      <c r="G551" s="67" t="s">
        <v>47</v>
      </c>
      <c r="H551" s="67" t="s">
        <v>112</v>
      </c>
      <c r="I551" s="71">
        <v>49</v>
      </c>
      <c r="J551" s="72">
        <v>300</v>
      </c>
      <c r="K551" s="73">
        <v>0.15</v>
      </c>
      <c r="L551" s="72">
        <v>160</v>
      </c>
      <c r="M551" s="68">
        <f t="shared" si="42"/>
        <v>12495</v>
      </c>
      <c r="N551" s="68">
        <f t="shared" si="43"/>
        <v>7840</v>
      </c>
      <c r="O551" s="68">
        <f t="shared" si="44"/>
        <v>4655</v>
      </c>
    </row>
    <row r="552" spans="1:15" x14ac:dyDescent="0.3">
      <c r="A552" s="67" t="s">
        <v>646</v>
      </c>
      <c r="B552" s="70">
        <v>45646</v>
      </c>
      <c r="C552" s="67">
        <f t="shared" si="40"/>
        <v>2024</v>
      </c>
      <c r="D552" s="67" t="str">
        <f t="shared" si="41"/>
        <v>12 Dec</v>
      </c>
      <c r="E552" s="67" t="s">
        <v>42</v>
      </c>
      <c r="F552" s="67" t="s">
        <v>69</v>
      </c>
      <c r="G552" s="67" t="s">
        <v>68</v>
      </c>
      <c r="H552" s="67" t="s">
        <v>89</v>
      </c>
      <c r="I552" s="71">
        <v>5</v>
      </c>
      <c r="J552" s="72">
        <v>3600</v>
      </c>
      <c r="K552" s="73">
        <v>0</v>
      </c>
      <c r="L552" s="72">
        <v>2000</v>
      </c>
      <c r="M552" s="68">
        <f t="shared" si="42"/>
        <v>18000</v>
      </c>
      <c r="N552" s="68">
        <f t="shared" si="43"/>
        <v>10000</v>
      </c>
      <c r="O552" s="68">
        <f t="shared" si="44"/>
        <v>8000</v>
      </c>
    </row>
    <row r="553" spans="1:15" x14ac:dyDescent="0.3">
      <c r="A553" s="67" t="s">
        <v>647</v>
      </c>
      <c r="B553" s="70">
        <v>45649</v>
      </c>
      <c r="C553" s="67">
        <f t="shared" si="40"/>
        <v>2024</v>
      </c>
      <c r="D553" s="67" t="str">
        <f t="shared" si="41"/>
        <v>12 Dec</v>
      </c>
      <c r="E553" s="67" t="s">
        <v>39</v>
      </c>
      <c r="F553" s="67" t="s">
        <v>69</v>
      </c>
      <c r="G553" s="67" t="s">
        <v>68</v>
      </c>
      <c r="H553" s="67" t="s">
        <v>100</v>
      </c>
      <c r="I553" s="71">
        <v>1</v>
      </c>
      <c r="J553" s="72">
        <v>3470</v>
      </c>
      <c r="K553" s="73">
        <v>0</v>
      </c>
      <c r="L553" s="72">
        <v>2000</v>
      </c>
      <c r="M553" s="68">
        <f t="shared" si="42"/>
        <v>3470</v>
      </c>
      <c r="N553" s="68">
        <f t="shared" si="43"/>
        <v>2000</v>
      </c>
      <c r="O553" s="68">
        <f t="shared" si="44"/>
        <v>1470</v>
      </c>
    </row>
    <row r="554" spans="1:15" x14ac:dyDescent="0.3">
      <c r="A554" s="67" t="s">
        <v>648</v>
      </c>
      <c r="B554" s="70">
        <v>45649</v>
      </c>
      <c r="C554" s="67">
        <f t="shared" si="40"/>
        <v>2024</v>
      </c>
      <c r="D554" s="67" t="str">
        <f t="shared" si="41"/>
        <v>12 Dec</v>
      </c>
      <c r="E554" s="67" t="s">
        <v>45</v>
      </c>
      <c r="F554" s="67" t="s">
        <v>69</v>
      </c>
      <c r="G554" s="67" t="s">
        <v>60</v>
      </c>
      <c r="H554" s="67" t="s">
        <v>93</v>
      </c>
      <c r="I554" s="71">
        <v>2</v>
      </c>
      <c r="J554" s="72">
        <v>22970</v>
      </c>
      <c r="K554" s="73">
        <v>0.15</v>
      </c>
      <c r="L554" s="72">
        <v>18000</v>
      </c>
      <c r="M554" s="68">
        <f t="shared" si="42"/>
        <v>39049</v>
      </c>
      <c r="N554" s="68">
        <f t="shared" si="43"/>
        <v>36000</v>
      </c>
      <c r="O554" s="68">
        <f t="shared" si="44"/>
        <v>3049</v>
      </c>
    </row>
    <row r="555" spans="1:15" x14ac:dyDescent="0.3">
      <c r="A555" s="67" t="s">
        <v>649</v>
      </c>
      <c r="B555" s="70">
        <v>45651</v>
      </c>
      <c r="C555" s="67">
        <f t="shared" si="40"/>
        <v>2024</v>
      </c>
      <c r="D555" s="67" t="str">
        <f t="shared" si="41"/>
        <v>12 Dec</v>
      </c>
      <c r="E555" s="67" t="s">
        <v>39</v>
      </c>
      <c r="F555" s="67" t="s">
        <v>69</v>
      </c>
      <c r="G555" s="67" t="s">
        <v>68</v>
      </c>
      <c r="H555" s="67" t="s">
        <v>100</v>
      </c>
      <c r="I555" s="71">
        <v>3</v>
      </c>
      <c r="J555" s="72">
        <v>3600</v>
      </c>
      <c r="K555" s="73">
        <v>0</v>
      </c>
      <c r="L555" s="72">
        <v>2000</v>
      </c>
      <c r="M555" s="68">
        <f t="shared" si="42"/>
        <v>10800</v>
      </c>
      <c r="N555" s="68">
        <f t="shared" si="43"/>
        <v>6000</v>
      </c>
      <c r="O555" s="68">
        <f t="shared" si="44"/>
        <v>4800</v>
      </c>
    </row>
    <row r="556" spans="1:15" x14ac:dyDescent="0.3">
      <c r="A556" s="67" t="s">
        <v>650</v>
      </c>
      <c r="B556" s="70">
        <v>45652</v>
      </c>
      <c r="C556" s="67">
        <f t="shared" si="40"/>
        <v>2024</v>
      </c>
      <c r="D556" s="67" t="str">
        <f t="shared" si="41"/>
        <v>12 Dec</v>
      </c>
      <c r="E556" s="67" t="s">
        <v>45</v>
      </c>
      <c r="F556" s="67" t="s">
        <v>66</v>
      </c>
      <c r="G556" s="67" t="s">
        <v>38</v>
      </c>
      <c r="H556" s="67" t="s">
        <v>93</v>
      </c>
      <c r="I556" s="71">
        <v>3</v>
      </c>
      <c r="J556" s="72">
        <v>14090</v>
      </c>
      <c r="K556" s="73">
        <v>0.05</v>
      </c>
      <c r="L556" s="72">
        <v>9500</v>
      </c>
      <c r="M556" s="68">
        <f t="shared" si="42"/>
        <v>40156.5</v>
      </c>
      <c r="N556" s="68">
        <f t="shared" si="43"/>
        <v>28500</v>
      </c>
      <c r="O556" s="68">
        <f t="shared" si="44"/>
        <v>11656.5</v>
      </c>
    </row>
    <row r="557" spans="1:15" x14ac:dyDescent="0.3">
      <c r="A557" s="67" t="s">
        <v>651</v>
      </c>
      <c r="B557" s="70">
        <v>45653</v>
      </c>
      <c r="C557" s="67">
        <f t="shared" si="40"/>
        <v>2024</v>
      </c>
      <c r="D557" s="67" t="str">
        <f t="shared" si="41"/>
        <v>12 Dec</v>
      </c>
      <c r="E557" s="67" t="s">
        <v>45</v>
      </c>
      <c r="F557" s="67" t="s">
        <v>69</v>
      </c>
      <c r="G557" s="67" t="s">
        <v>68</v>
      </c>
      <c r="H557" s="67" t="s">
        <v>87</v>
      </c>
      <c r="I557" s="71">
        <v>6</v>
      </c>
      <c r="J557" s="72">
        <v>3450</v>
      </c>
      <c r="K557" s="73">
        <v>0.05</v>
      </c>
      <c r="L557" s="72">
        <v>2000</v>
      </c>
      <c r="M557" s="68">
        <f t="shared" si="42"/>
        <v>19665</v>
      </c>
      <c r="N557" s="68">
        <f t="shared" si="43"/>
        <v>12000</v>
      </c>
      <c r="O557" s="68">
        <f t="shared" si="44"/>
        <v>7665</v>
      </c>
    </row>
    <row r="558" spans="1:15" x14ac:dyDescent="0.3">
      <c r="A558" s="67" t="s">
        <v>652</v>
      </c>
      <c r="B558" s="70">
        <v>45653</v>
      </c>
      <c r="C558" s="67">
        <f t="shared" si="40"/>
        <v>2024</v>
      </c>
      <c r="D558" s="67" t="str">
        <f t="shared" si="41"/>
        <v>12 Dec</v>
      </c>
      <c r="E558" s="67" t="s">
        <v>48</v>
      </c>
      <c r="F558" s="67" t="s">
        <v>69</v>
      </c>
      <c r="G558" s="67" t="s">
        <v>60</v>
      </c>
      <c r="H558" s="67" t="s">
        <v>98</v>
      </c>
      <c r="I558" s="71">
        <v>3</v>
      </c>
      <c r="J558" s="72">
        <v>24730</v>
      </c>
      <c r="K558" s="73">
        <v>0.15</v>
      </c>
      <c r="L558" s="72">
        <v>18000</v>
      </c>
      <c r="M558" s="68">
        <f t="shared" si="42"/>
        <v>63061.5</v>
      </c>
      <c r="N558" s="68">
        <f t="shared" si="43"/>
        <v>54000</v>
      </c>
      <c r="O558" s="68">
        <f t="shared" si="44"/>
        <v>9061.5</v>
      </c>
    </row>
    <row r="559" spans="1:15" x14ac:dyDescent="0.3">
      <c r="A559" s="67" t="s">
        <v>653</v>
      </c>
      <c r="B559" s="70">
        <v>45653</v>
      </c>
      <c r="C559" s="67">
        <f t="shared" si="40"/>
        <v>2024</v>
      </c>
      <c r="D559" s="67" t="str">
        <f t="shared" si="41"/>
        <v>12 Dec</v>
      </c>
      <c r="E559" s="67" t="s">
        <v>45</v>
      </c>
      <c r="F559" s="67" t="s">
        <v>66</v>
      </c>
      <c r="G559" s="67" t="s">
        <v>53</v>
      </c>
      <c r="H559" s="67" t="s">
        <v>87</v>
      </c>
      <c r="I559" s="71">
        <v>3</v>
      </c>
      <c r="J559" s="72">
        <v>10480</v>
      </c>
      <c r="K559" s="73">
        <v>0</v>
      </c>
      <c r="L559" s="72">
        <v>8000</v>
      </c>
      <c r="M559" s="68">
        <f t="shared" si="42"/>
        <v>31440</v>
      </c>
      <c r="N559" s="68">
        <f t="shared" si="43"/>
        <v>24000</v>
      </c>
      <c r="O559" s="68">
        <f t="shared" si="44"/>
        <v>7440</v>
      </c>
    </row>
    <row r="560" spans="1:15" x14ac:dyDescent="0.3">
      <c r="A560" s="67" t="s">
        <v>654</v>
      </c>
      <c r="B560" s="70">
        <v>45654</v>
      </c>
      <c r="C560" s="67">
        <f t="shared" si="40"/>
        <v>2024</v>
      </c>
      <c r="D560" s="67" t="str">
        <f t="shared" si="41"/>
        <v>12 Dec</v>
      </c>
      <c r="E560" s="67" t="s">
        <v>42</v>
      </c>
      <c r="F560" s="67" t="s">
        <v>70</v>
      </c>
      <c r="G560" s="67" t="s">
        <v>41</v>
      </c>
      <c r="H560" s="67" t="s">
        <v>89</v>
      </c>
      <c r="I560" s="71">
        <v>1</v>
      </c>
      <c r="J560" s="72">
        <v>6640</v>
      </c>
      <c r="K560" s="73">
        <v>0</v>
      </c>
      <c r="L560" s="72">
        <v>4200</v>
      </c>
      <c r="M560" s="68">
        <f t="shared" si="42"/>
        <v>6640</v>
      </c>
      <c r="N560" s="68">
        <f t="shared" si="43"/>
        <v>4200</v>
      </c>
      <c r="O560" s="68">
        <f t="shared" si="44"/>
        <v>2440</v>
      </c>
    </row>
    <row r="561" spans="1:15" x14ac:dyDescent="0.3">
      <c r="A561" s="67" t="s">
        <v>655</v>
      </c>
      <c r="B561" s="70">
        <v>45654</v>
      </c>
      <c r="C561" s="67">
        <f t="shared" si="40"/>
        <v>2024</v>
      </c>
      <c r="D561" s="67" t="str">
        <f t="shared" si="41"/>
        <v>12 Dec</v>
      </c>
      <c r="E561" s="67" t="s">
        <v>42</v>
      </c>
      <c r="F561" s="67" t="s">
        <v>69</v>
      </c>
      <c r="G561" s="67" t="s">
        <v>50</v>
      </c>
      <c r="H561" s="67" t="s">
        <v>112</v>
      </c>
      <c r="I561" s="71">
        <v>1</v>
      </c>
      <c r="J561" s="72">
        <v>54700</v>
      </c>
      <c r="K561" s="73">
        <v>0.05</v>
      </c>
      <c r="L561" s="72">
        <v>42000</v>
      </c>
      <c r="M561" s="68">
        <f t="shared" si="42"/>
        <v>51965</v>
      </c>
      <c r="N561" s="68">
        <f t="shared" si="43"/>
        <v>42000</v>
      </c>
      <c r="O561" s="68">
        <f t="shared" si="44"/>
        <v>9965</v>
      </c>
    </row>
    <row r="562" spans="1:15" x14ac:dyDescent="0.3">
      <c r="A562" s="67" t="s">
        <v>656</v>
      </c>
      <c r="B562" s="70">
        <v>45659</v>
      </c>
      <c r="C562" s="67">
        <f t="shared" si="40"/>
        <v>2025</v>
      </c>
      <c r="D562" s="67" t="str">
        <f t="shared" si="41"/>
        <v>01 Jan</v>
      </c>
      <c r="E562" s="67" t="s">
        <v>42</v>
      </c>
      <c r="F562" s="67" t="s">
        <v>69</v>
      </c>
      <c r="G562" s="67" t="s">
        <v>50</v>
      </c>
      <c r="H562" s="67" t="s">
        <v>89</v>
      </c>
      <c r="I562" s="71">
        <v>1</v>
      </c>
      <c r="J562" s="72">
        <v>54800</v>
      </c>
      <c r="K562" s="73">
        <v>0</v>
      </c>
      <c r="L562" s="72">
        <v>42000</v>
      </c>
      <c r="M562" s="68">
        <f t="shared" si="42"/>
        <v>54800</v>
      </c>
      <c r="N562" s="68">
        <f t="shared" si="43"/>
        <v>42000</v>
      </c>
      <c r="O562" s="68">
        <f t="shared" si="44"/>
        <v>12800</v>
      </c>
    </row>
    <row r="563" spans="1:15" x14ac:dyDescent="0.3">
      <c r="A563" s="67" t="s">
        <v>657</v>
      </c>
      <c r="B563" s="70">
        <v>45660</v>
      </c>
      <c r="C563" s="67">
        <f t="shared" si="40"/>
        <v>2025</v>
      </c>
      <c r="D563" s="67" t="str">
        <f t="shared" si="41"/>
        <v>01 Jan</v>
      </c>
      <c r="E563" s="67" t="s">
        <v>36</v>
      </c>
      <c r="F563" s="67" t="s">
        <v>69</v>
      </c>
      <c r="G563" s="67" t="s">
        <v>60</v>
      </c>
      <c r="H563" s="67" t="s">
        <v>91</v>
      </c>
      <c r="I563" s="71">
        <v>2</v>
      </c>
      <c r="J563" s="72">
        <v>24020</v>
      </c>
      <c r="K563" s="73">
        <v>0</v>
      </c>
      <c r="L563" s="72">
        <v>18000</v>
      </c>
      <c r="M563" s="68">
        <f t="shared" si="42"/>
        <v>48040</v>
      </c>
      <c r="N563" s="68">
        <f t="shared" si="43"/>
        <v>36000</v>
      </c>
      <c r="O563" s="68">
        <f t="shared" si="44"/>
        <v>12040</v>
      </c>
    </row>
    <row r="564" spans="1:15" x14ac:dyDescent="0.3">
      <c r="A564" s="67" t="s">
        <v>658</v>
      </c>
      <c r="B564" s="70">
        <v>45660</v>
      </c>
      <c r="C564" s="67">
        <f t="shared" si="40"/>
        <v>2025</v>
      </c>
      <c r="D564" s="67" t="str">
        <f t="shared" si="41"/>
        <v>01 Jan</v>
      </c>
      <c r="E564" s="67" t="s">
        <v>42</v>
      </c>
      <c r="F564" s="67" t="s">
        <v>71</v>
      </c>
      <c r="G564" s="67" t="s">
        <v>55</v>
      </c>
      <c r="H564" s="67" t="s">
        <v>89</v>
      </c>
      <c r="I564" s="71">
        <v>23</v>
      </c>
      <c r="J564" s="72">
        <v>460</v>
      </c>
      <c r="K564" s="73">
        <v>0</v>
      </c>
      <c r="L564" s="72">
        <v>250</v>
      </c>
      <c r="M564" s="68">
        <f t="shared" si="42"/>
        <v>10580</v>
      </c>
      <c r="N564" s="68">
        <f t="shared" si="43"/>
        <v>5750</v>
      </c>
      <c r="O564" s="68">
        <f t="shared" si="44"/>
        <v>4830</v>
      </c>
    </row>
    <row r="565" spans="1:15" x14ac:dyDescent="0.3">
      <c r="A565" s="67" t="s">
        <v>659</v>
      </c>
      <c r="B565" s="70">
        <v>45661</v>
      </c>
      <c r="C565" s="67">
        <f t="shared" si="40"/>
        <v>2025</v>
      </c>
      <c r="D565" s="67" t="str">
        <f t="shared" si="41"/>
        <v>01 Jan</v>
      </c>
      <c r="E565" s="67" t="s">
        <v>45</v>
      </c>
      <c r="F565" s="67" t="s">
        <v>70</v>
      </c>
      <c r="G565" s="67" t="s">
        <v>41</v>
      </c>
      <c r="H565" s="67" t="s">
        <v>93</v>
      </c>
      <c r="I565" s="71">
        <v>2</v>
      </c>
      <c r="J565" s="72">
        <v>6470</v>
      </c>
      <c r="K565" s="73">
        <v>0</v>
      </c>
      <c r="L565" s="72">
        <v>4200</v>
      </c>
      <c r="M565" s="68">
        <f t="shared" si="42"/>
        <v>12940</v>
      </c>
      <c r="N565" s="68">
        <f t="shared" si="43"/>
        <v>8400</v>
      </c>
      <c r="O565" s="68">
        <f t="shared" si="44"/>
        <v>4540</v>
      </c>
    </row>
    <row r="566" spans="1:15" x14ac:dyDescent="0.3">
      <c r="A566" s="67" t="s">
        <v>660</v>
      </c>
      <c r="B566" s="70">
        <v>45662</v>
      </c>
      <c r="C566" s="67">
        <f t="shared" si="40"/>
        <v>2025</v>
      </c>
      <c r="D566" s="67" t="str">
        <f t="shared" si="41"/>
        <v>01 Jan</v>
      </c>
      <c r="E566" s="67" t="s">
        <v>45</v>
      </c>
      <c r="F566" s="67" t="s">
        <v>69</v>
      </c>
      <c r="G566" s="67" t="s">
        <v>68</v>
      </c>
      <c r="H566" s="67" t="s">
        <v>87</v>
      </c>
      <c r="I566" s="71">
        <v>5</v>
      </c>
      <c r="J566" s="72">
        <v>3600</v>
      </c>
      <c r="K566" s="73">
        <v>0</v>
      </c>
      <c r="L566" s="72">
        <v>2000</v>
      </c>
      <c r="M566" s="68">
        <f t="shared" si="42"/>
        <v>18000</v>
      </c>
      <c r="N566" s="68">
        <f t="shared" si="43"/>
        <v>10000</v>
      </c>
      <c r="O566" s="68">
        <f t="shared" si="44"/>
        <v>8000</v>
      </c>
    </row>
    <row r="567" spans="1:15" x14ac:dyDescent="0.3">
      <c r="A567" s="67" t="s">
        <v>661</v>
      </c>
      <c r="B567" s="70">
        <v>45662</v>
      </c>
      <c r="C567" s="67">
        <f t="shared" si="40"/>
        <v>2025</v>
      </c>
      <c r="D567" s="67" t="str">
        <f t="shared" si="41"/>
        <v>01 Jan</v>
      </c>
      <c r="E567" s="67" t="s">
        <v>36</v>
      </c>
      <c r="F567" s="67" t="s">
        <v>66</v>
      </c>
      <c r="G567" s="67" t="s">
        <v>53</v>
      </c>
      <c r="H567" s="67" t="s">
        <v>91</v>
      </c>
      <c r="I567" s="71">
        <v>2</v>
      </c>
      <c r="J567" s="72">
        <v>10620</v>
      </c>
      <c r="K567" s="73">
        <v>0</v>
      </c>
      <c r="L567" s="72">
        <v>8000</v>
      </c>
      <c r="M567" s="68">
        <f t="shared" si="42"/>
        <v>21240</v>
      </c>
      <c r="N567" s="68">
        <f t="shared" si="43"/>
        <v>16000</v>
      </c>
      <c r="O567" s="68">
        <f t="shared" si="44"/>
        <v>5240</v>
      </c>
    </row>
    <row r="568" spans="1:15" x14ac:dyDescent="0.3">
      <c r="A568" s="67" t="s">
        <v>662</v>
      </c>
      <c r="B568" s="70">
        <v>45662</v>
      </c>
      <c r="C568" s="67">
        <f t="shared" si="40"/>
        <v>2025</v>
      </c>
      <c r="D568" s="67" t="str">
        <f t="shared" si="41"/>
        <v>01 Jan</v>
      </c>
      <c r="E568" s="67" t="s">
        <v>42</v>
      </c>
      <c r="F568" s="67" t="s">
        <v>66</v>
      </c>
      <c r="G568" s="67" t="s">
        <v>53</v>
      </c>
      <c r="H568" s="67" t="s">
        <v>112</v>
      </c>
      <c r="I568" s="71">
        <v>2</v>
      </c>
      <c r="J568" s="72">
        <v>11460</v>
      </c>
      <c r="K568" s="73">
        <v>0.05</v>
      </c>
      <c r="L568" s="72">
        <v>8000</v>
      </c>
      <c r="M568" s="68">
        <f t="shared" si="42"/>
        <v>21774</v>
      </c>
      <c r="N568" s="68">
        <f t="shared" si="43"/>
        <v>16000</v>
      </c>
      <c r="O568" s="68">
        <f t="shared" si="44"/>
        <v>5774</v>
      </c>
    </row>
    <row r="569" spans="1:15" x14ac:dyDescent="0.3">
      <c r="A569" s="67" t="s">
        <v>663</v>
      </c>
      <c r="B569" s="70">
        <v>45666</v>
      </c>
      <c r="C569" s="67">
        <f t="shared" si="40"/>
        <v>2025</v>
      </c>
      <c r="D569" s="67" t="str">
        <f t="shared" si="41"/>
        <v>01 Jan</v>
      </c>
      <c r="E569" s="67" t="s">
        <v>45</v>
      </c>
      <c r="F569" s="67" t="s">
        <v>71</v>
      </c>
      <c r="G569" s="67" t="s">
        <v>44</v>
      </c>
      <c r="H569" s="67" t="s">
        <v>87</v>
      </c>
      <c r="I569" s="71">
        <v>3</v>
      </c>
      <c r="J569" s="72">
        <v>700</v>
      </c>
      <c r="K569" s="73">
        <v>0</v>
      </c>
      <c r="L569" s="72">
        <v>380</v>
      </c>
      <c r="M569" s="68">
        <f t="shared" si="42"/>
        <v>2100</v>
      </c>
      <c r="N569" s="68">
        <f t="shared" si="43"/>
        <v>1140</v>
      </c>
      <c r="O569" s="68">
        <f t="shared" si="44"/>
        <v>960</v>
      </c>
    </row>
    <row r="570" spans="1:15" x14ac:dyDescent="0.3">
      <c r="A570" s="67" t="s">
        <v>664</v>
      </c>
      <c r="B570" s="70">
        <v>45667</v>
      </c>
      <c r="C570" s="67">
        <f t="shared" si="40"/>
        <v>2025</v>
      </c>
      <c r="D570" s="67" t="str">
        <f t="shared" si="41"/>
        <v>01 Jan</v>
      </c>
      <c r="E570" s="67" t="s">
        <v>42</v>
      </c>
      <c r="F570" s="67" t="s">
        <v>69</v>
      </c>
      <c r="G570" s="67" t="s">
        <v>68</v>
      </c>
      <c r="H570" s="67" t="s">
        <v>112</v>
      </c>
      <c r="I570" s="71">
        <v>5</v>
      </c>
      <c r="J570" s="72">
        <v>3540</v>
      </c>
      <c r="K570" s="73">
        <v>0</v>
      </c>
      <c r="L570" s="72">
        <v>2000</v>
      </c>
      <c r="M570" s="68">
        <f t="shared" si="42"/>
        <v>17700</v>
      </c>
      <c r="N570" s="68">
        <f t="shared" si="43"/>
        <v>10000</v>
      </c>
      <c r="O570" s="68">
        <f t="shared" si="44"/>
        <v>7700</v>
      </c>
    </row>
    <row r="571" spans="1:15" x14ac:dyDescent="0.3">
      <c r="A571" s="67" t="s">
        <v>665</v>
      </c>
      <c r="B571" s="70">
        <v>45667</v>
      </c>
      <c r="C571" s="67">
        <f t="shared" si="40"/>
        <v>2025</v>
      </c>
      <c r="D571" s="67" t="str">
        <f t="shared" si="41"/>
        <v>01 Jan</v>
      </c>
      <c r="E571" s="67" t="s">
        <v>42</v>
      </c>
      <c r="F571" s="67" t="s">
        <v>71</v>
      </c>
      <c r="G571" s="67" t="s">
        <v>47</v>
      </c>
      <c r="H571" s="67" t="s">
        <v>89</v>
      </c>
      <c r="I571" s="71">
        <v>44</v>
      </c>
      <c r="J571" s="72">
        <v>300</v>
      </c>
      <c r="K571" s="73">
        <v>0.05</v>
      </c>
      <c r="L571" s="72">
        <v>160</v>
      </c>
      <c r="M571" s="68">
        <f t="shared" si="42"/>
        <v>12540</v>
      </c>
      <c r="N571" s="68">
        <f t="shared" si="43"/>
        <v>7040</v>
      </c>
      <c r="O571" s="68">
        <f t="shared" si="44"/>
        <v>5500</v>
      </c>
    </row>
    <row r="572" spans="1:15" x14ac:dyDescent="0.3">
      <c r="A572" s="67" t="s">
        <v>666</v>
      </c>
      <c r="B572" s="70">
        <v>45667</v>
      </c>
      <c r="C572" s="67">
        <f t="shared" si="40"/>
        <v>2025</v>
      </c>
      <c r="D572" s="67" t="str">
        <f t="shared" si="41"/>
        <v>01 Jan</v>
      </c>
      <c r="E572" s="67" t="s">
        <v>48</v>
      </c>
      <c r="F572" s="67" t="s">
        <v>70</v>
      </c>
      <c r="G572" s="67" t="s">
        <v>62</v>
      </c>
      <c r="H572" s="67" t="s">
        <v>98</v>
      </c>
      <c r="I572" s="71">
        <v>2</v>
      </c>
      <c r="J572" s="72">
        <v>18610</v>
      </c>
      <c r="K572" s="73">
        <v>0</v>
      </c>
      <c r="L572" s="72">
        <v>12500</v>
      </c>
      <c r="M572" s="68">
        <f t="shared" si="42"/>
        <v>37220</v>
      </c>
      <c r="N572" s="68">
        <f t="shared" si="43"/>
        <v>25000</v>
      </c>
      <c r="O572" s="68">
        <f t="shared" si="44"/>
        <v>12220</v>
      </c>
    </row>
    <row r="573" spans="1:15" x14ac:dyDescent="0.3">
      <c r="A573" s="67" t="s">
        <v>667</v>
      </c>
      <c r="B573" s="70">
        <v>45671</v>
      </c>
      <c r="C573" s="67">
        <f t="shared" si="40"/>
        <v>2025</v>
      </c>
      <c r="D573" s="67" t="str">
        <f t="shared" si="41"/>
        <v>01 Jan</v>
      </c>
      <c r="E573" s="67" t="s">
        <v>48</v>
      </c>
      <c r="F573" s="67" t="s">
        <v>70</v>
      </c>
      <c r="G573" s="67" t="s">
        <v>62</v>
      </c>
      <c r="H573" s="67" t="s">
        <v>95</v>
      </c>
      <c r="I573" s="71">
        <v>1</v>
      </c>
      <c r="J573" s="72">
        <v>18150</v>
      </c>
      <c r="K573" s="73">
        <v>0.05</v>
      </c>
      <c r="L573" s="72">
        <v>12500</v>
      </c>
      <c r="M573" s="68">
        <f t="shared" si="42"/>
        <v>17242.5</v>
      </c>
      <c r="N573" s="68">
        <f t="shared" si="43"/>
        <v>12500</v>
      </c>
      <c r="O573" s="68">
        <f t="shared" si="44"/>
        <v>4742.5</v>
      </c>
    </row>
    <row r="574" spans="1:15" x14ac:dyDescent="0.3">
      <c r="A574" s="67" t="s">
        <v>668</v>
      </c>
      <c r="B574" s="70">
        <v>45671</v>
      </c>
      <c r="C574" s="67">
        <f t="shared" si="40"/>
        <v>2025</v>
      </c>
      <c r="D574" s="67" t="str">
        <f t="shared" si="41"/>
        <v>01 Jan</v>
      </c>
      <c r="E574" s="67" t="s">
        <v>45</v>
      </c>
      <c r="F574" s="67" t="s">
        <v>71</v>
      </c>
      <c r="G574" s="67" t="s">
        <v>55</v>
      </c>
      <c r="H574" s="67" t="s">
        <v>87</v>
      </c>
      <c r="I574" s="71">
        <v>25</v>
      </c>
      <c r="J574" s="72">
        <v>450</v>
      </c>
      <c r="K574" s="73">
        <v>0</v>
      </c>
      <c r="L574" s="72">
        <v>250</v>
      </c>
      <c r="M574" s="68">
        <f t="shared" si="42"/>
        <v>11250</v>
      </c>
      <c r="N574" s="68">
        <f t="shared" si="43"/>
        <v>6250</v>
      </c>
      <c r="O574" s="68">
        <f t="shared" si="44"/>
        <v>5000</v>
      </c>
    </row>
    <row r="575" spans="1:15" x14ac:dyDescent="0.3">
      <c r="A575" s="67" t="s">
        <v>669</v>
      </c>
      <c r="B575" s="70">
        <v>45671</v>
      </c>
      <c r="C575" s="67">
        <f t="shared" si="40"/>
        <v>2025</v>
      </c>
      <c r="D575" s="67" t="str">
        <f t="shared" si="41"/>
        <v>01 Jan</v>
      </c>
      <c r="E575" s="67" t="s">
        <v>42</v>
      </c>
      <c r="F575" s="67" t="s">
        <v>66</v>
      </c>
      <c r="G575" s="67" t="s">
        <v>65</v>
      </c>
      <c r="H575" s="67" t="s">
        <v>89</v>
      </c>
      <c r="I575" s="71">
        <v>3</v>
      </c>
      <c r="J575" s="72">
        <v>13130</v>
      </c>
      <c r="K575" s="73">
        <v>0</v>
      </c>
      <c r="L575" s="72">
        <v>9000</v>
      </c>
      <c r="M575" s="68">
        <f t="shared" si="42"/>
        <v>39390</v>
      </c>
      <c r="N575" s="68">
        <f t="shared" si="43"/>
        <v>27000</v>
      </c>
      <c r="O575" s="68">
        <f t="shared" si="44"/>
        <v>12390</v>
      </c>
    </row>
    <row r="576" spans="1:15" x14ac:dyDescent="0.3">
      <c r="A576" s="67" t="s">
        <v>670</v>
      </c>
      <c r="B576" s="70">
        <v>45672</v>
      </c>
      <c r="C576" s="67">
        <f t="shared" si="40"/>
        <v>2025</v>
      </c>
      <c r="D576" s="67" t="str">
        <f t="shared" si="41"/>
        <v>01 Jan</v>
      </c>
      <c r="E576" s="67" t="s">
        <v>36</v>
      </c>
      <c r="F576" s="67" t="s">
        <v>71</v>
      </c>
      <c r="G576" s="67" t="s">
        <v>47</v>
      </c>
      <c r="H576" s="67" t="s">
        <v>91</v>
      </c>
      <c r="I576" s="71">
        <v>37</v>
      </c>
      <c r="J576" s="72">
        <v>310</v>
      </c>
      <c r="K576" s="73">
        <v>0.15</v>
      </c>
      <c r="L576" s="72">
        <v>160</v>
      </c>
      <c r="M576" s="68">
        <f t="shared" si="42"/>
        <v>9749.5</v>
      </c>
      <c r="N576" s="68">
        <f t="shared" si="43"/>
        <v>5920</v>
      </c>
      <c r="O576" s="68">
        <f t="shared" si="44"/>
        <v>3829.5</v>
      </c>
    </row>
    <row r="577" spans="1:15" x14ac:dyDescent="0.3">
      <c r="A577" s="67" t="s">
        <v>671</v>
      </c>
      <c r="B577" s="70">
        <v>45672</v>
      </c>
      <c r="C577" s="67">
        <f t="shared" si="40"/>
        <v>2025</v>
      </c>
      <c r="D577" s="67" t="str">
        <f t="shared" si="41"/>
        <v>01 Jan</v>
      </c>
      <c r="E577" s="67" t="s">
        <v>48</v>
      </c>
      <c r="F577" s="67" t="s">
        <v>71</v>
      </c>
      <c r="G577" s="67" t="s">
        <v>55</v>
      </c>
      <c r="H577" s="67" t="s">
        <v>95</v>
      </c>
      <c r="I577" s="71">
        <v>9</v>
      </c>
      <c r="J577" s="72">
        <v>430</v>
      </c>
      <c r="K577" s="73">
        <v>0.1</v>
      </c>
      <c r="L577" s="72">
        <v>250</v>
      </c>
      <c r="M577" s="68">
        <f t="shared" si="42"/>
        <v>3483</v>
      </c>
      <c r="N577" s="68">
        <f t="shared" si="43"/>
        <v>2250</v>
      </c>
      <c r="O577" s="68">
        <f t="shared" si="44"/>
        <v>1233</v>
      </c>
    </row>
    <row r="578" spans="1:15" x14ac:dyDescent="0.3">
      <c r="A578" s="67" t="s">
        <v>672</v>
      </c>
      <c r="B578" s="70">
        <v>45672</v>
      </c>
      <c r="C578" s="67">
        <f t="shared" ref="C578:C641" si="45">YEAR(B578)</f>
        <v>2025</v>
      </c>
      <c r="D578" s="67" t="str">
        <f t="shared" ref="D578:D641" si="46">CHOOSE(MONTH(B578),"01 Jan","02 Feb","03 Mar","04 Apr","05 May","06 Jun","07 Jul","08 Aug","09 Sep","10 Oct","11 Nov","12 Dec")</f>
        <v>01 Jan</v>
      </c>
      <c r="E578" s="67" t="s">
        <v>39</v>
      </c>
      <c r="F578" s="67" t="s">
        <v>69</v>
      </c>
      <c r="G578" s="67" t="s">
        <v>50</v>
      </c>
      <c r="H578" s="67" t="s">
        <v>100</v>
      </c>
      <c r="I578" s="71">
        <v>1</v>
      </c>
      <c r="J578" s="72">
        <v>56660</v>
      </c>
      <c r="K578" s="73">
        <v>0.05</v>
      </c>
      <c r="L578" s="72">
        <v>42000</v>
      </c>
      <c r="M578" s="68">
        <f t="shared" ref="M578:M641" si="47">I578*J578*(1-K578)</f>
        <v>53827</v>
      </c>
      <c r="N578" s="68">
        <f t="shared" ref="N578:N641" si="48">I578*L578</f>
        <v>42000</v>
      </c>
      <c r="O578" s="68">
        <f t="shared" ref="O578:O641" si="49">M578-N578</f>
        <v>11827</v>
      </c>
    </row>
    <row r="579" spans="1:15" x14ac:dyDescent="0.3">
      <c r="A579" s="67" t="s">
        <v>673</v>
      </c>
      <c r="B579" s="70">
        <v>45673</v>
      </c>
      <c r="C579" s="67">
        <f t="shared" si="45"/>
        <v>2025</v>
      </c>
      <c r="D579" s="67" t="str">
        <f t="shared" si="46"/>
        <v>01 Jan</v>
      </c>
      <c r="E579" s="67" t="s">
        <v>48</v>
      </c>
      <c r="F579" s="67" t="s">
        <v>70</v>
      </c>
      <c r="G579" s="67" t="s">
        <v>58</v>
      </c>
      <c r="H579" s="67" t="s">
        <v>98</v>
      </c>
      <c r="I579" s="71">
        <v>5</v>
      </c>
      <c r="J579" s="72">
        <v>8660</v>
      </c>
      <c r="K579" s="73">
        <v>0</v>
      </c>
      <c r="L579" s="72">
        <v>6000</v>
      </c>
      <c r="M579" s="68">
        <f t="shared" si="47"/>
        <v>43300</v>
      </c>
      <c r="N579" s="68">
        <f t="shared" si="48"/>
        <v>30000</v>
      </c>
      <c r="O579" s="68">
        <f t="shared" si="49"/>
        <v>13300</v>
      </c>
    </row>
    <row r="580" spans="1:15" x14ac:dyDescent="0.3">
      <c r="A580" s="67" t="s">
        <v>674</v>
      </c>
      <c r="B580" s="70">
        <v>45673</v>
      </c>
      <c r="C580" s="67">
        <f t="shared" si="45"/>
        <v>2025</v>
      </c>
      <c r="D580" s="67" t="str">
        <f t="shared" si="46"/>
        <v>01 Jan</v>
      </c>
      <c r="E580" s="67" t="s">
        <v>42</v>
      </c>
      <c r="F580" s="67" t="s">
        <v>69</v>
      </c>
      <c r="G580" s="67" t="s">
        <v>60</v>
      </c>
      <c r="H580" s="67" t="s">
        <v>89</v>
      </c>
      <c r="I580" s="71">
        <v>2</v>
      </c>
      <c r="J580" s="72">
        <v>24240</v>
      </c>
      <c r="K580" s="73">
        <v>0.1</v>
      </c>
      <c r="L580" s="72">
        <v>18000</v>
      </c>
      <c r="M580" s="68">
        <f t="shared" si="47"/>
        <v>43632</v>
      </c>
      <c r="N580" s="68">
        <f t="shared" si="48"/>
        <v>36000</v>
      </c>
      <c r="O580" s="68">
        <f t="shared" si="49"/>
        <v>7632</v>
      </c>
    </row>
    <row r="581" spans="1:15" x14ac:dyDescent="0.3">
      <c r="A581" s="67" t="s">
        <v>675</v>
      </c>
      <c r="B581" s="70">
        <v>45674</v>
      </c>
      <c r="C581" s="67">
        <f t="shared" si="45"/>
        <v>2025</v>
      </c>
      <c r="D581" s="67" t="str">
        <f t="shared" si="46"/>
        <v>01 Jan</v>
      </c>
      <c r="E581" s="67" t="s">
        <v>45</v>
      </c>
      <c r="F581" s="67" t="s">
        <v>66</v>
      </c>
      <c r="G581" s="67" t="s">
        <v>38</v>
      </c>
      <c r="H581" s="67" t="s">
        <v>87</v>
      </c>
      <c r="I581" s="71">
        <v>2</v>
      </c>
      <c r="J581" s="72">
        <v>13540</v>
      </c>
      <c r="K581" s="73">
        <v>0.1</v>
      </c>
      <c r="L581" s="72">
        <v>9500</v>
      </c>
      <c r="M581" s="68">
        <f t="shared" si="47"/>
        <v>24372</v>
      </c>
      <c r="N581" s="68">
        <f t="shared" si="48"/>
        <v>19000</v>
      </c>
      <c r="O581" s="68">
        <f t="shared" si="49"/>
        <v>5372</v>
      </c>
    </row>
    <row r="582" spans="1:15" x14ac:dyDescent="0.3">
      <c r="A582" s="67" t="s">
        <v>676</v>
      </c>
      <c r="B582" s="70">
        <v>45674</v>
      </c>
      <c r="C582" s="67">
        <f t="shared" si="45"/>
        <v>2025</v>
      </c>
      <c r="D582" s="67" t="str">
        <f t="shared" si="46"/>
        <v>01 Jan</v>
      </c>
      <c r="E582" s="67" t="s">
        <v>39</v>
      </c>
      <c r="F582" s="67" t="s">
        <v>69</v>
      </c>
      <c r="G582" s="67" t="s">
        <v>60</v>
      </c>
      <c r="H582" s="67" t="s">
        <v>100</v>
      </c>
      <c r="I582" s="71">
        <v>3</v>
      </c>
      <c r="J582" s="72">
        <v>23490</v>
      </c>
      <c r="K582" s="73">
        <v>0</v>
      </c>
      <c r="L582" s="72">
        <v>18000</v>
      </c>
      <c r="M582" s="68">
        <f t="shared" si="47"/>
        <v>70470</v>
      </c>
      <c r="N582" s="68">
        <f t="shared" si="48"/>
        <v>54000</v>
      </c>
      <c r="O582" s="68">
        <f t="shared" si="49"/>
        <v>16470</v>
      </c>
    </row>
    <row r="583" spans="1:15" x14ac:dyDescent="0.3">
      <c r="A583" s="67" t="s">
        <v>677</v>
      </c>
      <c r="B583" s="70">
        <v>45679</v>
      </c>
      <c r="C583" s="67">
        <f t="shared" si="45"/>
        <v>2025</v>
      </c>
      <c r="D583" s="67" t="str">
        <f t="shared" si="46"/>
        <v>01 Jan</v>
      </c>
      <c r="E583" s="67" t="s">
        <v>42</v>
      </c>
      <c r="F583" s="67" t="s">
        <v>69</v>
      </c>
      <c r="G583" s="67" t="s">
        <v>60</v>
      </c>
      <c r="H583" s="67" t="s">
        <v>112</v>
      </c>
      <c r="I583" s="71">
        <v>2</v>
      </c>
      <c r="J583" s="72">
        <v>22960</v>
      </c>
      <c r="K583" s="73">
        <v>0.05</v>
      </c>
      <c r="L583" s="72">
        <v>18000</v>
      </c>
      <c r="M583" s="68">
        <f t="shared" si="47"/>
        <v>43624</v>
      </c>
      <c r="N583" s="68">
        <f t="shared" si="48"/>
        <v>36000</v>
      </c>
      <c r="O583" s="68">
        <f t="shared" si="49"/>
        <v>7624</v>
      </c>
    </row>
    <row r="584" spans="1:15" x14ac:dyDescent="0.3">
      <c r="A584" s="67" t="s">
        <v>678</v>
      </c>
      <c r="B584" s="70">
        <v>45683</v>
      </c>
      <c r="C584" s="67">
        <f t="shared" si="45"/>
        <v>2025</v>
      </c>
      <c r="D584" s="67" t="str">
        <f t="shared" si="46"/>
        <v>01 Jan</v>
      </c>
      <c r="E584" s="67" t="s">
        <v>39</v>
      </c>
      <c r="F584" s="67" t="s">
        <v>69</v>
      </c>
      <c r="G584" s="67" t="s">
        <v>60</v>
      </c>
      <c r="H584" s="67" t="s">
        <v>107</v>
      </c>
      <c r="I584" s="71">
        <v>1</v>
      </c>
      <c r="J584" s="72">
        <v>24460</v>
      </c>
      <c r="K584" s="73">
        <v>0</v>
      </c>
      <c r="L584" s="72">
        <v>18000</v>
      </c>
      <c r="M584" s="68">
        <f t="shared" si="47"/>
        <v>24460</v>
      </c>
      <c r="N584" s="68">
        <f t="shared" si="48"/>
        <v>18000</v>
      </c>
      <c r="O584" s="68">
        <f t="shared" si="49"/>
        <v>6460</v>
      </c>
    </row>
    <row r="585" spans="1:15" x14ac:dyDescent="0.3">
      <c r="A585" s="67" t="s">
        <v>679</v>
      </c>
      <c r="B585" s="70">
        <v>45685</v>
      </c>
      <c r="C585" s="67">
        <f t="shared" si="45"/>
        <v>2025</v>
      </c>
      <c r="D585" s="67" t="str">
        <f t="shared" si="46"/>
        <v>01 Jan</v>
      </c>
      <c r="E585" s="67" t="s">
        <v>42</v>
      </c>
      <c r="F585" s="67" t="s">
        <v>71</v>
      </c>
      <c r="G585" s="67" t="s">
        <v>47</v>
      </c>
      <c r="H585" s="67" t="s">
        <v>112</v>
      </c>
      <c r="I585" s="71">
        <v>8</v>
      </c>
      <c r="J585" s="72">
        <v>310</v>
      </c>
      <c r="K585" s="73">
        <v>0</v>
      </c>
      <c r="L585" s="72">
        <v>160</v>
      </c>
      <c r="M585" s="68">
        <f t="shared" si="47"/>
        <v>2480</v>
      </c>
      <c r="N585" s="68">
        <f t="shared" si="48"/>
        <v>1280</v>
      </c>
      <c r="O585" s="68">
        <f t="shared" si="49"/>
        <v>1200</v>
      </c>
    </row>
    <row r="586" spans="1:15" x14ac:dyDescent="0.3">
      <c r="A586" s="67" t="s">
        <v>680</v>
      </c>
      <c r="B586" s="70">
        <v>45689</v>
      </c>
      <c r="C586" s="67">
        <f t="shared" si="45"/>
        <v>2025</v>
      </c>
      <c r="D586" s="67" t="str">
        <f t="shared" si="46"/>
        <v>02 Feb</v>
      </c>
      <c r="E586" s="67" t="s">
        <v>42</v>
      </c>
      <c r="F586" s="67" t="s">
        <v>69</v>
      </c>
      <c r="G586" s="67" t="s">
        <v>60</v>
      </c>
      <c r="H586" s="67" t="s">
        <v>89</v>
      </c>
      <c r="I586" s="71">
        <v>3</v>
      </c>
      <c r="J586" s="72">
        <v>23270</v>
      </c>
      <c r="K586" s="73">
        <v>0.05</v>
      </c>
      <c r="L586" s="72">
        <v>18000</v>
      </c>
      <c r="M586" s="68">
        <f t="shared" si="47"/>
        <v>66319.5</v>
      </c>
      <c r="N586" s="68">
        <f t="shared" si="48"/>
        <v>54000</v>
      </c>
      <c r="O586" s="68">
        <f t="shared" si="49"/>
        <v>12319.5</v>
      </c>
    </row>
    <row r="587" spans="1:15" x14ac:dyDescent="0.3">
      <c r="A587" s="67" t="s">
        <v>681</v>
      </c>
      <c r="B587" s="70">
        <v>45690</v>
      </c>
      <c r="C587" s="67">
        <f t="shared" si="45"/>
        <v>2025</v>
      </c>
      <c r="D587" s="67" t="str">
        <f t="shared" si="46"/>
        <v>02 Feb</v>
      </c>
      <c r="E587" s="67" t="s">
        <v>48</v>
      </c>
      <c r="F587" s="67" t="s">
        <v>70</v>
      </c>
      <c r="G587" s="67" t="s">
        <v>41</v>
      </c>
      <c r="H587" s="67" t="s">
        <v>98</v>
      </c>
      <c r="I587" s="71">
        <v>1</v>
      </c>
      <c r="J587" s="72">
        <v>6230</v>
      </c>
      <c r="K587" s="73">
        <v>0.1</v>
      </c>
      <c r="L587" s="72">
        <v>4200</v>
      </c>
      <c r="M587" s="68">
        <f t="shared" si="47"/>
        <v>5607</v>
      </c>
      <c r="N587" s="68">
        <f t="shared" si="48"/>
        <v>4200</v>
      </c>
      <c r="O587" s="68">
        <f t="shared" si="49"/>
        <v>1407</v>
      </c>
    </row>
    <row r="588" spans="1:15" x14ac:dyDescent="0.3">
      <c r="A588" s="67" t="s">
        <v>682</v>
      </c>
      <c r="B588" s="70">
        <v>45693</v>
      </c>
      <c r="C588" s="67">
        <f t="shared" si="45"/>
        <v>2025</v>
      </c>
      <c r="D588" s="67" t="str">
        <f t="shared" si="46"/>
        <v>02 Feb</v>
      </c>
      <c r="E588" s="67" t="s">
        <v>42</v>
      </c>
      <c r="F588" s="67" t="s">
        <v>71</v>
      </c>
      <c r="G588" s="67" t="s">
        <v>55</v>
      </c>
      <c r="H588" s="67" t="s">
        <v>112</v>
      </c>
      <c r="I588" s="71">
        <v>33</v>
      </c>
      <c r="J588" s="72">
        <v>450</v>
      </c>
      <c r="K588" s="73">
        <v>0</v>
      </c>
      <c r="L588" s="72">
        <v>250</v>
      </c>
      <c r="M588" s="68">
        <f t="shared" si="47"/>
        <v>14850</v>
      </c>
      <c r="N588" s="68">
        <f t="shared" si="48"/>
        <v>8250</v>
      </c>
      <c r="O588" s="68">
        <f t="shared" si="49"/>
        <v>6600</v>
      </c>
    </row>
    <row r="589" spans="1:15" x14ac:dyDescent="0.3">
      <c r="A589" s="67" t="s">
        <v>683</v>
      </c>
      <c r="B589" s="70">
        <v>45696</v>
      </c>
      <c r="C589" s="67">
        <f t="shared" si="45"/>
        <v>2025</v>
      </c>
      <c r="D589" s="67" t="str">
        <f t="shared" si="46"/>
        <v>02 Feb</v>
      </c>
      <c r="E589" s="67" t="s">
        <v>45</v>
      </c>
      <c r="F589" s="67" t="s">
        <v>69</v>
      </c>
      <c r="G589" s="67" t="s">
        <v>50</v>
      </c>
      <c r="H589" s="67" t="s">
        <v>93</v>
      </c>
      <c r="I589" s="71">
        <v>1</v>
      </c>
      <c r="J589" s="72">
        <v>52760</v>
      </c>
      <c r="K589" s="73">
        <v>0.05</v>
      </c>
      <c r="L589" s="72">
        <v>42000</v>
      </c>
      <c r="M589" s="68">
        <f t="shared" si="47"/>
        <v>50122</v>
      </c>
      <c r="N589" s="68">
        <f t="shared" si="48"/>
        <v>42000</v>
      </c>
      <c r="O589" s="68">
        <f t="shared" si="49"/>
        <v>8122</v>
      </c>
    </row>
    <row r="590" spans="1:15" x14ac:dyDescent="0.3">
      <c r="A590" s="67" t="s">
        <v>684</v>
      </c>
      <c r="B590" s="70">
        <v>45698</v>
      </c>
      <c r="C590" s="67">
        <f t="shared" si="45"/>
        <v>2025</v>
      </c>
      <c r="D590" s="67" t="str">
        <f t="shared" si="46"/>
        <v>02 Feb</v>
      </c>
      <c r="E590" s="67" t="s">
        <v>45</v>
      </c>
      <c r="F590" s="67" t="s">
        <v>66</v>
      </c>
      <c r="G590" s="67" t="s">
        <v>38</v>
      </c>
      <c r="H590" s="67" t="s">
        <v>93</v>
      </c>
      <c r="I590" s="71">
        <v>3</v>
      </c>
      <c r="J590" s="72">
        <v>14440</v>
      </c>
      <c r="K590" s="73">
        <v>0</v>
      </c>
      <c r="L590" s="72">
        <v>9500</v>
      </c>
      <c r="M590" s="68">
        <f t="shared" si="47"/>
        <v>43320</v>
      </c>
      <c r="N590" s="68">
        <f t="shared" si="48"/>
        <v>28500</v>
      </c>
      <c r="O590" s="68">
        <f t="shared" si="49"/>
        <v>14820</v>
      </c>
    </row>
    <row r="591" spans="1:15" x14ac:dyDescent="0.3">
      <c r="A591" s="67" t="s">
        <v>685</v>
      </c>
      <c r="B591" s="70">
        <v>45699</v>
      </c>
      <c r="C591" s="67">
        <f t="shared" si="45"/>
        <v>2025</v>
      </c>
      <c r="D591" s="67" t="str">
        <f t="shared" si="46"/>
        <v>02 Feb</v>
      </c>
      <c r="E591" s="67" t="s">
        <v>36</v>
      </c>
      <c r="F591" s="67" t="s">
        <v>70</v>
      </c>
      <c r="G591" s="67" t="s">
        <v>41</v>
      </c>
      <c r="H591" s="67" t="s">
        <v>91</v>
      </c>
      <c r="I591" s="71">
        <v>3</v>
      </c>
      <c r="J591" s="72">
        <v>6670</v>
      </c>
      <c r="K591" s="73">
        <v>0.05</v>
      </c>
      <c r="L591" s="72">
        <v>4200</v>
      </c>
      <c r="M591" s="68">
        <f t="shared" si="47"/>
        <v>19009.5</v>
      </c>
      <c r="N591" s="68">
        <f t="shared" si="48"/>
        <v>12600</v>
      </c>
      <c r="O591" s="68">
        <f t="shared" si="49"/>
        <v>6409.5</v>
      </c>
    </row>
    <row r="592" spans="1:15" x14ac:dyDescent="0.3">
      <c r="A592" s="67" t="s">
        <v>686</v>
      </c>
      <c r="B592" s="70">
        <v>45700</v>
      </c>
      <c r="C592" s="67">
        <f t="shared" si="45"/>
        <v>2025</v>
      </c>
      <c r="D592" s="67" t="str">
        <f t="shared" si="46"/>
        <v>02 Feb</v>
      </c>
      <c r="E592" s="67" t="s">
        <v>42</v>
      </c>
      <c r="F592" s="67" t="s">
        <v>70</v>
      </c>
      <c r="G592" s="67" t="s">
        <v>58</v>
      </c>
      <c r="H592" s="67" t="s">
        <v>89</v>
      </c>
      <c r="I592" s="71">
        <v>4</v>
      </c>
      <c r="J592" s="72">
        <v>8780</v>
      </c>
      <c r="K592" s="73">
        <v>0.05</v>
      </c>
      <c r="L592" s="72">
        <v>6000</v>
      </c>
      <c r="M592" s="68">
        <f t="shared" si="47"/>
        <v>33364</v>
      </c>
      <c r="N592" s="68">
        <f t="shared" si="48"/>
        <v>24000</v>
      </c>
      <c r="O592" s="68">
        <f t="shared" si="49"/>
        <v>9364</v>
      </c>
    </row>
    <row r="593" spans="1:15" x14ac:dyDescent="0.3">
      <c r="A593" s="67" t="s">
        <v>687</v>
      </c>
      <c r="B593" s="70">
        <v>45701</v>
      </c>
      <c r="C593" s="67">
        <f t="shared" si="45"/>
        <v>2025</v>
      </c>
      <c r="D593" s="67" t="str">
        <f t="shared" si="46"/>
        <v>02 Feb</v>
      </c>
      <c r="E593" s="67" t="s">
        <v>42</v>
      </c>
      <c r="F593" s="67" t="s">
        <v>70</v>
      </c>
      <c r="G593" s="67" t="s">
        <v>58</v>
      </c>
      <c r="H593" s="67" t="s">
        <v>112</v>
      </c>
      <c r="I593" s="71">
        <v>3</v>
      </c>
      <c r="J593" s="72">
        <v>9270</v>
      </c>
      <c r="K593" s="73">
        <v>0</v>
      </c>
      <c r="L593" s="72">
        <v>6000</v>
      </c>
      <c r="M593" s="68">
        <f t="shared" si="47"/>
        <v>27810</v>
      </c>
      <c r="N593" s="68">
        <f t="shared" si="48"/>
        <v>18000</v>
      </c>
      <c r="O593" s="68">
        <f t="shared" si="49"/>
        <v>9810</v>
      </c>
    </row>
    <row r="594" spans="1:15" x14ac:dyDescent="0.3">
      <c r="A594" s="67" t="s">
        <v>688</v>
      </c>
      <c r="B594" s="70">
        <v>45704</v>
      </c>
      <c r="C594" s="67">
        <f t="shared" si="45"/>
        <v>2025</v>
      </c>
      <c r="D594" s="67" t="str">
        <f t="shared" si="46"/>
        <v>02 Feb</v>
      </c>
      <c r="E594" s="67" t="s">
        <v>45</v>
      </c>
      <c r="F594" s="67" t="s">
        <v>71</v>
      </c>
      <c r="G594" s="67" t="s">
        <v>55</v>
      </c>
      <c r="H594" s="67" t="s">
        <v>93</v>
      </c>
      <c r="I594" s="71">
        <v>20</v>
      </c>
      <c r="J594" s="72">
        <v>450</v>
      </c>
      <c r="K594" s="73">
        <v>0</v>
      </c>
      <c r="L594" s="72">
        <v>250</v>
      </c>
      <c r="M594" s="68">
        <f t="shared" si="47"/>
        <v>9000</v>
      </c>
      <c r="N594" s="68">
        <f t="shared" si="48"/>
        <v>5000</v>
      </c>
      <c r="O594" s="68">
        <f t="shared" si="49"/>
        <v>4000</v>
      </c>
    </row>
    <row r="595" spans="1:15" x14ac:dyDescent="0.3">
      <c r="A595" s="67" t="s">
        <v>689</v>
      </c>
      <c r="B595" s="70">
        <v>45706</v>
      </c>
      <c r="C595" s="67">
        <f t="shared" si="45"/>
        <v>2025</v>
      </c>
      <c r="D595" s="67" t="str">
        <f t="shared" si="46"/>
        <v>02 Feb</v>
      </c>
      <c r="E595" s="67" t="s">
        <v>48</v>
      </c>
      <c r="F595" s="67" t="s">
        <v>71</v>
      </c>
      <c r="G595" s="67" t="s">
        <v>55</v>
      </c>
      <c r="H595" s="67" t="s">
        <v>95</v>
      </c>
      <c r="I595" s="71">
        <v>16</v>
      </c>
      <c r="J595" s="72">
        <v>470</v>
      </c>
      <c r="K595" s="73">
        <v>0.15</v>
      </c>
      <c r="L595" s="72">
        <v>250</v>
      </c>
      <c r="M595" s="68">
        <f t="shared" si="47"/>
        <v>6392</v>
      </c>
      <c r="N595" s="68">
        <f t="shared" si="48"/>
        <v>4000</v>
      </c>
      <c r="O595" s="68">
        <f t="shared" si="49"/>
        <v>2392</v>
      </c>
    </row>
    <row r="596" spans="1:15" x14ac:dyDescent="0.3">
      <c r="A596" s="67" t="s">
        <v>690</v>
      </c>
      <c r="B596" s="70">
        <v>45706</v>
      </c>
      <c r="C596" s="67">
        <f t="shared" si="45"/>
        <v>2025</v>
      </c>
      <c r="D596" s="67" t="str">
        <f t="shared" si="46"/>
        <v>02 Feb</v>
      </c>
      <c r="E596" s="67" t="s">
        <v>42</v>
      </c>
      <c r="F596" s="67" t="s">
        <v>66</v>
      </c>
      <c r="G596" s="67" t="s">
        <v>53</v>
      </c>
      <c r="H596" s="67" t="s">
        <v>112</v>
      </c>
      <c r="I596" s="71">
        <v>2</v>
      </c>
      <c r="J596" s="72">
        <v>10750</v>
      </c>
      <c r="K596" s="73">
        <v>0</v>
      </c>
      <c r="L596" s="72">
        <v>8000</v>
      </c>
      <c r="M596" s="68">
        <f t="shared" si="47"/>
        <v>21500</v>
      </c>
      <c r="N596" s="68">
        <f t="shared" si="48"/>
        <v>16000</v>
      </c>
      <c r="O596" s="68">
        <f t="shared" si="49"/>
        <v>5500</v>
      </c>
    </row>
    <row r="597" spans="1:15" x14ac:dyDescent="0.3">
      <c r="A597" s="67" t="s">
        <v>691</v>
      </c>
      <c r="B597" s="70">
        <v>45708</v>
      </c>
      <c r="C597" s="67">
        <f t="shared" si="45"/>
        <v>2025</v>
      </c>
      <c r="D597" s="67" t="str">
        <f t="shared" si="46"/>
        <v>02 Feb</v>
      </c>
      <c r="E597" s="67" t="s">
        <v>42</v>
      </c>
      <c r="F597" s="67" t="s">
        <v>66</v>
      </c>
      <c r="G597" s="67" t="s">
        <v>65</v>
      </c>
      <c r="H597" s="67" t="s">
        <v>89</v>
      </c>
      <c r="I597" s="71">
        <v>2</v>
      </c>
      <c r="J597" s="72">
        <v>13910</v>
      </c>
      <c r="K597" s="73">
        <v>0</v>
      </c>
      <c r="L597" s="72">
        <v>9000</v>
      </c>
      <c r="M597" s="68">
        <f t="shared" si="47"/>
        <v>27820</v>
      </c>
      <c r="N597" s="68">
        <f t="shared" si="48"/>
        <v>18000</v>
      </c>
      <c r="O597" s="68">
        <f t="shared" si="49"/>
        <v>9820</v>
      </c>
    </row>
    <row r="598" spans="1:15" x14ac:dyDescent="0.3">
      <c r="A598" s="67" t="s">
        <v>692</v>
      </c>
      <c r="B598" s="70">
        <v>45710</v>
      </c>
      <c r="C598" s="67">
        <f t="shared" si="45"/>
        <v>2025</v>
      </c>
      <c r="D598" s="67" t="str">
        <f t="shared" si="46"/>
        <v>02 Feb</v>
      </c>
      <c r="E598" s="67" t="s">
        <v>48</v>
      </c>
      <c r="F598" s="67" t="s">
        <v>69</v>
      </c>
      <c r="G598" s="67" t="s">
        <v>68</v>
      </c>
      <c r="H598" s="67" t="s">
        <v>95</v>
      </c>
      <c r="I598" s="71">
        <v>1</v>
      </c>
      <c r="J598" s="72">
        <v>3640</v>
      </c>
      <c r="K598" s="73">
        <v>0.05</v>
      </c>
      <c r="L598" s="72">
        <v>2000</v>
      </c>
      <c r="M598" s="68">
        <f t="shared" si="47"/>
        <v>3458</v>
      </c>
      <c r="N598" s="68">
        <f t="shared" si="48"/>
        <v>2000</v>
      </c>
      <c r="O598" s="68">
        <f t="shared" si="49"/>
        <v>1458</v>
      </c>
    </row>
    <row r="599" spans="1:15" x14ac:dyDescent="0.3">
      <c r="A599" s="67" t="s">
        <v>693</v>
      </c>
      <c r="B599" s="70">
        <v>45710</v>
      </c>
      <c r="C599" s="67">
        <f t="shared" si="45"/>
        <v>2025</v>
      </c>
      <c r="D599" s="67" t="str">
        <f t="shared" si="46"/>
        <v>02 Feb</v>
      </c>
      <c r="E599" s="67" t="s">
        <v>48</v>
      </c>
      <c r="F599" s="67" t="s">
        <v>71</v>
      </c>
      <c r="G599" s="67" t="s">
        <v>55</v>
      </c>
      <c r="H599" s="67" t="s">
        <v>95</v>
      </c>
      <c r="I599" s="71">
        <v>22</v>
      </c>
      <c r="J599" s="72">
        <v>470</v>
      </c>
      <c r="K599" s="73">
        <v>0.05</v>
      </c>
      <c r="L599" s="72">
        <v>250</v>
      </c>
      <c r="M599" s="68">
        <f t="shared" si="47"/>
        <v>9823</v>
      </c>
      <c r="N599" s="68">
        <f t="shared" si="48"/>
        <v>5500</v>
      </c>
      <c r="O599" s="68">
        <f t="shared" si="49"/>
        <v>4323</v>
      </c>
    </row>
    <row r="600" spans="1:15" x14ac:dyDescent="0.3">
      <c r="A600" s="67" t="s">
        <v>694</v>
      </c>
      <c r="B600" s="70">
        <v>45712</v>
      </c>
      <c r="C600" s="67">
        <f t="shared" si="45"/>
        <v>2025</v>
      </c>
      <c r="D600" s="67" t="str">
        <f t="shared" si="46"/>
        <v>02 Feb</v>
      </c>
      <c r="E600" s="67" t="s">
        <v>36</v>
      </c>
      <c r="F600" s="67" t="s">
        <v>71</v>
      </c>
      <c r="G600" s="67" t="s">
        <v>55</v>
      </c>
      <c r="H600" s="67" t="s">
        <v>91</v>
      </c>
      <c r="I600" s="71">
        <v>26</v>
      </c>
      <c r="J600" s="72">
        <v>450</v>
      </c>
      <c r="K600" s="73">
        <v>0.05</v>
      </c>
      <c r="L600" s="72">
        <v>250</v>
      </c>
      <c r="M600" s="68">
        <f t="shared" si="47"/>
        <v>11115</v>
      </c>
      <c r="N600" s="68">
        <f t="shared" si="48"/>
        <v>6500</v>
      </c>
      <c r="O600" s="68">
        <f t="shared" si="49"/>
        <v>4615</v>
      </c>
    </row>
    <row r="601" spans="1:15" x14ac:dyDescent="0.3">
      <c r="A601" s="67" t="s">
        <v>695</v>
      </c>
      <c r="B601" s="70">
        <v>45712</v>
      </c>
      <c r="C601" s="67">
        <f t="shared" si="45"/>
        <v>2025</v>
      </c>
      <c r="D601" s="67" t="str">
        <f t="shared" si="46"/>
        <v>02 Feb</v>
      </c>
      <c r="E601" s="67" t="s">
        <v>48</v>
      </c>
      <c r="F601" s="67" t="s">
        <v>69</v>
      </c>
      <c r="G601" s="67" t="s">
        <v>50</v>
      </c>
      <c r="H601" s="67" t="s">
        <v>98</v>
      </c>
      <c r="I601" s="71">
        <v>1</v>
      </c>
      <c r="J601" s="72">
        <v>55930</v>
      </c>
      <c r="K601" s="73">
        <v>0.05</v>
      </c>
      <c r="L601" s="72">
        <v>42000</v>
      </c>
      <c r="M601" s="68">
        <f t="shared" si="47"/>
        <v>53133.5</v>
      </c>
      <c r="N601" s="68">
        <f t="shared" si="48"/>
        <v>42000</v>
      </c>
      <c r="O601" s="68">
        <f t="shared" si="49"/>
        <v>11133.5</v>
      </c>
    </row>
    <row r="602" spans="1:15" x14ac:dyDescent="0.3">
      <c r="A602" s="67" t="s">
        <v>696</v>
      </c>
      <c r="B602" s="70">
        <v>45713</v>
      </c>
      <c r="C602" s="67">
        <f t="shared" si="45"/>
        <v>2025</v>
      </c>
      <c r="D602" s="67" t="str">
        <f t="shared" si="46"/>
        <v>02 Feb</v>
      </c>
      <c r="E602" s="67" t="s">
        <v>45</v>
      </c>
      <c r="F602" s="67" t="s">
        <v>71</v>
      </c>
      <c r="G602" s="67" t="s">
        <v>44</v>
      </c>
      <c r="H602" s="67" t="s">
        <v>93</v>
      </c>
      <c r="I602" s="71">
        <v>11</v>
      </c>
      <c r="J602" s="72">
        <v>700</v>
      </c>
      <c r="K602" s="73">
        <v>0.05</v>
      </c>
      <c r="L602" s="72">
        <v>380</v>
      </c>
      <c r="M602" s="68">
        <f t="shared" si="47"/>
        <v>7315</v>
      </c>
      <c r="N602" s="68">
        <f t="shared" si="48"/>
        <v>4180</v>
      </c>
      <c r="O602" s="68">
        <f t="shared" si="49"/>
        <v>3135</v>
      </c>
    </row>
    <row r="603" spans="1:15" x14ac:dyDescent="0.3">
      <c r="A603" s="67" t="s">
        <v>697</v>
      </c>
      <c r="B603" s="70">
        <v>45713</v>
      </c>
      <c r="C603" s="67">
        <f t="shared" si="45"/>
        <v>2025</v>
      </c>
      <c r="D603" s="67" t="str">
        <f t="shared" si="46"/>
        <v>02 Feb</v>
      </c>
      <c r="E603" s="67" t="s">
        <v>42</v>
      </c>
      <c r="F603" s="67" t="s">
        <v>71</v>
      </c>
      <c r="G603" s="67" t="s">
        <v>47</v>
      </c>
      <c r="H603" s="67" t="s">
        <v>89</v>
      </c>
      <c r="I603" s="71">
        <v>46</v>
      </c>
      <c r="J603" s="72">
        <v>300</v>
      </c>
      <c r="K603" s="73">
        <v>0</v>
      </c>
      <c r="L603" s="72">
        <v>160</v>
      </c>
      <c r="M603" s="68">
        <f t="shared" si="47"/>
        <v>13800</v>
      </c>
      <c r="N603" s="68">
        <f t="shared" si="48"/>
        <v>7360</v>
      </c>
      <c r="O603" s="68">
        <f t="shared" si="49"/>
        <v>6440</v>
      </c>
    </row>
    <row r="604" spans="1:15" x14ac:dyDescent="0.3">
      <c r="A604" s="67" t="s">
        <v>698</v>
      </c>
      <c r="B604" s="70">
        <v>45714</v>
      </c>
      <c r="C604" s="67">
        <f t="shared" si="45"/>
        <v>2025</v>
      </c>
      <c r="D604" s="67" t="str">
        <f t="shared" si="46"/>
        <v>02 Feb</v>
      </c>
      <c r="E604" s="67" t="s">
        <v>48</v>
      </c>
      <c r="F604" s="67" t="s">
        <v>66</v>
      </c>
      <c r="G604" s="67" t="s">
        <v>38</v>
      </c>
      <c r="H604" s="67" t="s">
        <v>95</v>
      </c>
      <c r="I604" s="71">
        <v>3</v>
      </c>
      <c r="J604" s="72">
        <v>13910</v>
      </c>
      <c r="K604" s="73">
        <v>0.05</v>
      </c>
      <c r="L604" s="72">
        <v>9500</v>
      </c>
      <c r="M604" s="68">
        <f t="shared" si="47"/>
        <v>39643.5</v>
      </c>
      <c r="N604" s="68">
        <f t="shared" si="48"/>
        <v>28500</v>
      </c>
      <c r="O604" s="68">
        <f t="shared" si="49"/>
        <v>11143.5</v>
      </c>
    </row>
    <row r="605" spans="1:15" x14ac:dyDescent="0.3">
      <c r="A605" s="67" t="s">
        <v>699</v>
      </c>
      <c r="B605" s="70">
        <v>45714</v>
      </c>
      <c r="C605" s="67">
        <f t="shared" si="45"/>
        <v>2025</v>
      </c>
      <c r="D605" s="67" t="str">
        <f t="shared" si="46"/>
        <v>02 Feb</v>
      </c>
      <c r="E605" s="67" t="s">
        <v>48</v>
      </c>
      <c r="F605" s="67" t="s">
        <v>69</v>
      </c>
      <c r="G605" s="67" t="s">
        <v>60</v>
      </c>
      <c r="H605" s="67" t="s">
        <v>95</v>
      </c>
      <c r="I605" s="71">
        <v>1</v>
      </c>
      <c r="J605" s="72">
        <v>23450</v>
      </c>
      <c r="K605" s="73">
        <v>0.05</v>
      </c>
      <c r="L605" s="72">
        <v>18000</v>
      </c>
      <c r="M605" s="68">
        <f t="shared" si="47"/>
        <v>22277.5</v>
      </c>
      <c r="N605" s="68">
        <f t="shared" si="48"/>
        <v>18000</v>
      </c>
      <c r="O605" s="68">
        <f t="shared" si="49"/>
        <v>4277.5</v>
      </c>
    </row>
    <row r="606" spans="1:15" x14ac:dyDescent="0.3">
      <c r="A606" s="67" t="s">
        <v>700</v>
      </c>
      <c r="B606" s="70">
        <v>45716</v>
      </c>
      <c r="C606" s="67">
        <f t="shared" si="45"/>
        <v>2025</v>
      </c>
      <c r="D606" s="67" t="str">
        <f t="shared" si="46"/>
        <v>02 Feb</v>
      </c>
      <c r="E606" s="67" t="s">
        <v>36</v>
      </c>
      <c r="F606" s="67" t="s">
        <v>66</v>
      </c>
      <c r="G606" s="67" t="s">
        <v>38</v>
      </c>
      <c r="H606" s="67" t="s">
        <v>114</v>
      </c>
      <c r="I606" s="71">
        <v>2</v>
      </c>
      <c r="J606" s="72">
        <v>14260</v>
      </c>
      <c r="K606" s="73">
        <v>0</v>
      </c>
      <c r="L606" s="72">
        <v>9500</v>
      </c>
      <c r="M606" s="68">
        <f t="shared" si="47"/>
        <v>28520</v>
      </c>
      <c r="N606" s="68">
        <f t="shared" si="48"/>
        <v>19000</v>
      </c>
      <c r="O606" s="68">
        <f t="shared" si="49"/>
        <v>9520</v>
      </c>
    </row>
    <row r="607" spans="1:15" x14ac:dyDescent="0.3">
      <c r="A607" s="67" t="s">
        <v>701</v>
      </c>
      <c r="B607" s="70">
        <v>45720</v>
      </c>
      <c r="C607" s="67">
        <f t="shared" si="45"/>
        <v>2025</v>
      </c>
      <c r="D607" s="67" t="str">
        <f t="shared" si="46"/>
        <v>03 Mar</v>
      </c>
      <c r="E607" s="67" t="s">
        <v>42</v>
      </c>
      <c r="F607" s="67" t="s">
        <v>69</v>
      </c>
      <c r="G607" s="67" t="s">
        <v>60</v>
      </c>
      <c r="H607" s="67" t="s">
        <v>112</v>
      </c>
      <c r="I607" s="71">
        <v>1</v>
      </c>
      <c r="J607" s="72">
        <v>24350</v>
      </c>
      <c r="K607" s="73">
        <v>0.05</v>
      </c>
      <c r="L607" s="72">
        <v>18000</v>
      </c>
      <c r="M607" s="68">
        <f t="shared" si="47"/>
        <v>23132.5</v>
      </c>
      <c r="N607" s="68">
        <f t="shared" si="48"/>
        <v>18000</v>
      </c>
      <c r="O607" s="68">
        <f t="shared" si="49"/>
        <v>5132.5</v>
      </c>
    </row>
    <row r="608" spans="1:15" x14ac:dyDescent="0.3">
      <c r="A608" s="67" t="s">
        <v>702</v>
      </c>
      <c r="B608" s="70">
        <v>45721</v>
      </c>
      <c r="C608" s="67">
        <f t="shared" si="45"/>
        <v>2025</v>
      </c>
      <c r="D608" s="67" t="str">
        <f t="shared" si="46"/>
        <v>03 Mar</v>
      </c>
      <c r="E608" s="67" t="s">
        <v>48</v>
      </c>
      <c r="F608" s="67" t="s">
        <v>69</v>
      </c>
      <c r="G608" s="67" t="s">
        <v>68</v>
      </c>
      <c r="H608" s="67" t="s">
        <v>95</v>
      </c>
      <c r="I608" s="71">
        <v>4</v>
      </c>
      <c r="J608" s="72">
        <v>3480</v>
      </c>
      <c r="K608" s="73">
        <v>0</v>
      </c>
      <c r="L608" s="72">
        <v>2000</v>
      </c>
      <c r="M608" s="68">
        <f t="shared" si="47"/>
        <v>13920</v>
      </c>
      <c r="N608" s="68">
        <f t="shared" si="48"/>
        <v>8000</v>
      </c>
      <c r="O608" s="68">
        <f t="shared" si="49"/>
        <v>5920</v>
      </c>
    </row>
    <row r="609" spans="1:15" x14ac:dyDescent="0.3">
      <c r="A609" s="67" t="s">
        <v>703</v>
      </c>
      <c r="B609" s="70">
        <v>45721</v>
      </c>
      <c r="C609" s="67">
        <f t="shared" si="45"/>
        <v>2025</v>
      </c>
      <c r="D609" s="67" t="str">
        <f t="shared" si="46"/>
        <v>03 Mar</v>
      </c>
      <c r="E609" s="67" t="s">
        <v>42</v>
      </c>
      <c r="F609" s="67" t="s">
        <v>71</v>
      </c>
      <c r="G609" s="67" t="s">
        <v>55</v>
      </c>
      <c r="H609" s="67" t="s">
        <v>89</v>
      </c>
      <c r="I609" s="71">
        <v>24</v>
      </c>
      <c r="J609" s="72">
        <v>450</v>
      </c>
      <c r="K609" s="73">
        <v>0.05</v>
      </c>
      <c r="L609" s="72">
        <v>250</v>
      </c>
      <c r="M609" s="68">
        <f t="shared" si="47"/>
        <v>10260</v>
      </c>
      <c r="N609" s="68">
        <f t="shared" si="48"/>
        <v>6000</v>
      </c>
      <c r="O609" s="68">
        <f t="shared" si="49"/>
        <v>4260</v>
      </c>
    </row>
    <row r="610" spans="1:15" x14ac:dyDescent="0.3">
      <c r="A610" s="67" t="s">
        <v>704</v>
      </c>
      <c r="B610" s="70">
        <v>45721</v>
      </c>
      <c r="C610" s="67">
        <f t="shared" si="45"/>
        <v>2025</v>
      </c>
      <c r="D610" s="67" t="str">
        <f t="shared" si="46"/>
        <v>03 Mar</v>
      </c>
      <c r="E610" s="67" t="s">
        <v>42</v>
      </c>
      <c r="F610" s="67" t="s">
        <v>71</v>
      </c>
      <c r="G610" s="67" t="s">
        <v>55</v>
      </c>
      <c r="H610" s="67" t="s">
        <v>112</v>
      </c>
      <c r="I610" s="71">
        <v>14</v>
      </c>
      <c r="J610" s="72">
        <v>470</v>
      </c>
      <c r="K610" s="73">
        <v>0</v>
      </c>
      <c r="L610" s="72">
        <v>250</v>
      </c>
      <c r="M610" s="68">
        <f t="shared" si="47"/>
        <v>6580</v>
      </c>
      <c r="N610" s="68">
        <f t="shared" si="48"/>
        <v>3500</v>
      </c>
      <c r="O610" s="68">
        <f t="shared" si="49"/>
        <v>3080</v>
      </c>
    </row>
    <row r="611" spans="1:15" x14ac:dyDescent="0.3">
      <c r="A611" s="67" t="s">
        <v>705</v>
      </c>
      <c r="B611" s="70">
        <v>45722</v>
      </c>
      <c r="C611" s="67">
        <f t="shared" si="45"/>
        <v>2025</v>
      </c>
      <c r="D611" s="67" t="str">
        <f t="shared" si="46"/>
        <v>03 Mar</v>
      </c>
      <c r="E611" s="67" t="s">
        <v>45</v>
      </c>
      <c r="F611" s="67" t="s">
        <v>71</v>
      </c>
      <c r="G611" s="67" t="s">
        <v>55</v>
      </c>
      <c r="H611" s="67" t="s">
        <v>93</v>
      </c>
      <c r="I611" s="71">
        <v>6</v>
      </c>
      <c r="J611" s="72">
        <v>430</v>
      </c>
      <c r="K611" s="73">
        <v>0</v>
      </c>
      <c r="L611" s="72">
        <v>250</v>
      </c>
      <c r="M611" s="68">
        <f t="shared" si="47"/>
        <v>2580</v>
      </c>
      <c r="N611" s="68">
        <f t="shared" si="48"/>
        <v>1500</v>
      </c>
      <c r="O611" s="68">
        <f t="shared" si="49"/>
        <v>1080</v>
      </c>
    </row>
    <row r="612" spans="1:15" x14ac:dyDescent="0.3">
      <c r="A612" s="67" t="s">
        <v>706</v>
      </c>
      <c r="B612" s="70">
        <v>45722</v>
      </c>
      <c r="C612" s="67">
        <f t="shared" si="45"/>
        <v>2025</v>
      </c>
      <c r="D612" s="67" t="str">
        <f t="shared" si="46"/>
        <v>03 Mar</v>
      </c>
      <c r="E612" s="67" t="s">
        <v>45</v>
      </c>
      <c r="F612" s="67" t="s">
        <v>71</v>
      </c>
      <c r="G612" s="67" t="s">
        <v>55</v>
      </c>
      <c r="H612" s="67" t="s">
        <v>93</v>
      </c>
      <c r="I612" s="71">
        <v>27</v>
      </c>
      <c r="J612" s="72">
        <v>450</v>
      </c>
      <c r="K612" s="73">
        <v>0</v>
      </c>
      <c r="L612" s="72">
        <v>250</v>
      </c>
      <c r="M612" s="68">
        <f t="shared" si="47"/>
        <v>12150</v>
      </c>
      <c r="N612" s="68">
        <f t="shared" si="48"/>
        <v>6750</v>
      </c>
      <c r="O612" s="68">
        <f t="shared" si="49"/>
        <v>5400</v>
      </c>
    </row>
    <row r="613" spans="1:15" x14ac:dyDescent="0.3">
      <c r="A613" s="67" t="s">
        <v>707</v>
      </c>
      <c r="B613" s="70">
        <v>45723</v>
      </c>
      <c r="C613" s="67">
        <f t="shared" si="45"/>
        <v>2025</v>
      </c>
      <c r="D613" s="67" t="str">
        <f t="shared" si="46"/>
        <v>03 Mar</v>
      </c>
      <c r="E613" s="67" t="s">
        <v>36</v>
      </c>
      <c r="F613" s="67" t="s">
        <v>70</v>
      </c>
      <c r="G613" s="67" t="s">
        <v>58</v>
      </c>
      <c r="H613" s="67" t="s">
        <v>114</v>
      </c>
      <c r="I613" s="71">
        <v>3</v>
      </c>
      <c r="J613" s="72">
        <v>8860</v>
      </c>
      <c r="K613" s="73">
        <v>0.1</v>
      </c>
      <c r="L613" s="72">
        <v>6000</v>
      </c>
      <c r="M613" s="68">
        <f t="shared" si="47"/>
        <v>23922</v>
      </c>
      <c r="N613" s="68">
        <f t="shared" si="48"/>
        <v>18000</v>
      </c>
      <c r="O613" s="68">
        <f t="shared" si="49"/>
        <v>5922</v>
      </c>
    </row>
    <row r="614" spans="1:15" x14ac:dyDescent="0.3">
      <c r="A614" s="67" t="s">
        <v>708</v>
      </c>
      <c r="B614" s="70">
        <v>45724</v>
      </c>
      <c r="C614" s="67">
        <f t="shared" si="45"/>
        <v>2025</v>
      </c>
      <c r="D614" s="67" t="str">
        <f t="shared" si="46"/>
        <v>03 Mar</v>
      </c>
      <c r="E614" s="67" t="s">
        <v>48</v>
      </c>
      <c r="F614" s="67" t="s">
        <v>66</v>
      </c>
      <c r="G614" s="67" t="s">
        <v>38</v>
      </c>
      <c r="H614" s="67" t="s">
        <v>95</v>
      </c>
      <c r="I614" s="71">
        <v>2</v>
      </c>
      <c r="J614" s="72">
        <v>14210</v>
      </c>
      <c r="K614" s="73">
        <v>0</v>
      </c>
      <c r="L614" s="72">
        <v>9500</v>
      </c>
      <c r="M614" s="68">
        <f t="shared" si="47"/>
        <v>28420</v>
      </c>
      <c r="N614" s="68">
        <f t="shared" si="48"/>
        <v>19000</v>
      </c>
      <c r="O614" s="68">
        <f t="shared" si="49"/>
        <v>9420</v>
      </c>
    </row>
    <row r="615" spans="1:15" x14ac:dyDescent="0.3">
      <c r="A615" s="67" t="s">
        <v>709</v>
      </c>
      <c r="B615" s="70">
        <v>45724</v>
      </c>
      <c r="C615" s="67">
        <f t="shared" si="45"/>
        <v>2025</v>
      </c>
      <c r="D615" s="67" t="str">
        <f t="shared" si="46"/>
        <v>03 Mar</v>
      </c>
      <c r="E615" s="67" t="s">
        <v>45</v>
      </c>
      <c r="F615" s="67" t="s">
        <v>70</v>
      </c>
      <c r="G615" s="67" t="s">
        <v>41</v>
      </c>
      <c r="H615" s="67" t="s">
        <v>87</v>
      </c>
      <c r="I615" s="71">
        <v>4</v>
      </c>
      <c r="J615" s="72">
        <v>6380</v>
      </c>
      <c r="K615" s="73">
        <v>0.1</v>
      </c>
      <c r="L615" s="72">
        <v>4200</v>
      </c>
      <c r="M615" s="68">
        <f t="shared" si="47"/>
        <v>22968</v>
      </c>
      <c r="N615" s="68">
        <f t="shared" si="48"/>
        <v>16800</v>
      </c>
      <c r="O615" s="68">
        <f t="shared" si="49"/>
        <v>6168</v>
      </c>
    </row>
    <row r="616" spans="1:15" x14ac:dyDescent="0.3">
      <c r="A616" s="67" t="s">
        <v>710</v>
      </c>
      <c r="B616" s="70">
        <v>45725</v>
      </c>
      <c r="C616" s="67">
        <f t="shared" si="45"/>
        <v>2025</v>
      </c>
      <c r="D616" s="67" t="str">
        <f t="shared" si="46"/>
        <v>03 Mar</v>
      </c>
      <c r="E616" s="67" t="s">
        <v>42</v>
      </c>
      <c r="F616" s="67" t="s">
        <v>71</v>
      </c>
      <c r="G616" s="67" t="s">
        <v>47</v>
      </c>
      <c r="H616" s="67" t="s">
        <v>112</v>
      </c>
      <c r="I616" s="71">
        <v>46</v>
      </c>
      <c r="J616" s="72">
        <v>290</v>
      </c>
      <c r="K616" s="73">
        <v>0.05</v>
      </c>
      <c r="L616" s="72">
        <v>160</v>
      </c>
      <c r="M616" s="68">
        <f t="shared" si="47"/>
        <v>12673</v>
      </c>
      <c r="N616" s="68">
        <f t="shared" si="48"/>
        <v>7360</v>
      </c>
      <c r="O616" s="68">
        <f t="shared" si="49"/>
        <v>5313</v>
      </c>
    </row>
    <row r="617" spans="1:15" x14ac:dyDescent="0.3">
      <c r="A617" s="67" t="s">
        <v>711</v>
      </c>
      <c r="B617" s="70">
        <v>45725</v>
      </c>
      <c r="C617" s="67">
        <f t="shared" si="45"/>
        <v>2025</v>
      </c>
      <c r="D617" s="67" t="str">
        <f t="shared" si="46"/>
        <v>03 Mar</v>
      </c>
      <c r="E617" s="67" t="s">
        <v>36</v>
      </c>
      <c r="F617" s="67" t="s">
        <v>69</v>
      </c>
      <c r="G617" s="67" t="s">
        <v>68</v>
      </c>
      <c r="H617" s="67" t="s">
        <v>91</v>
      </c>
      <c r="I617" s="71">
        <v>3</v>
      </c>
      <c r="J617" s="72">
        <v>3390</v>
      </c>
      <c r="K617" s="73">
        <v>0.1</v>
      </c>
      <c r="L617" s="72">
        <v>2000</v>
      </c>
      <c r="M617" s="68">
        <f t="shared" si="47"/>
        <v>9153</v>
      </c>
      <c r="N617" s="68">
        <f t="shared" si="48"/>
        <v>6000</v>
      </c>
      <c r="O617" s="68">
        <f t="shared" si="49"/>
        <v>3153</v>
      </c>
    </row>
    <row r="618" spans="1:15" x14ac:dyDescent="0.3">
      <c r="A618" s="67" t="s">
        <v>712</v>
      </c>
      <c r="B618" s="70">
        <v>45725</v>
      </c>
      <c r="C618" s="67">
        <f t="shared" si="45"/>
        <v>2025</v>
      </c>
      <c r="D618" s="67" t="str">
        <f t="shared" si="46"/>
        <v>03 Mar</v>
      </c>
      <c r="E618" s="67" t="s">
        <v>42</v>
      </c>
      <c r="F618" s="67" t="s">
        <v>70</v>
      </c>
      <c r="G618" s="67" t="s">
        <v>58</v>
      </c>
      <c r="H618" s="67" t="s">
        <v>112</v>
      </c>
      <c r="I618" s="71">
        <v>5</v>
      </c>
      <c r="J618" s="72">
        <v>9080</v>
      </c>
      <c r="K618" s="73">
        <v>0.15</v>
      </c>
      <c r="L618" s="72">
        <v>6000</v>
      </c>
      <c r="M618" s="68">
        <f t="shared" si="47"/>
        <v>38590</v>
      </c>
      <c r="N618" s="68">
        <f t="shared" si="48"/>
        <v>30000</v>
      </c>
      <c r="O618" s="68">
        <f t="shared" si="49"/>
        <v>8590</v>
      </c>
    </row>
    <row r="619" spans="1:15" x14ac:dyDescent="0.3">
      <c r="A619" s="67" t="s">
        <v>713</v>
      </c>
      <c r="B619" s="70">
        <v>45725</v>
      </c>
      <c r="C619" s="67">
        <f t="shared" si="45"/>
        <v>2025</v>
      </c>
      <c r="D619" s="67" t="str">
        <f t="shared" si="46"/>
        <v>03 Mar</v>
      </c>
      <c r="E619" s="67" t="s">
        <v>39</v>
      </c>
      <c r="F619" s="67" t="s">
        <v>66</v>
      </c>
      <c r="G619" s="67" t="s">
        <v>53</v>
      </c>
      <c r="H619" s="67" t="s">
        <v>100</v>
      </c>
      <c r="I619" s="71">
        <v>2</v>
      </c>
      <c r="J619" s="72">
        <v>11380</v>
      </c>
      <c r="K619" s="73">
        <v>0.15</v>
      </c>
      <c r="L619" s="72">
        <v>8000</v>
      </c>
      <c r="M619" s="68">
        <f t="shared" si="47"/>
        <v>19346</v>
      </c>
      <c r="N619" s="68">
        <f t="shared" si="48"/>
        <v>16000</v>
      </c>
      <c r="O619" s="68">
        <f t="shared" si="49"/>
        <v>3346</v>
      </c>
    </row>
    <row r="620" spans="1:15" x14ac:dyDescent="0.3">
      <c r="A620" s="67" t="s">
        <v>714</v>
      </c>
      <c r="B620" s="70">
        <v>45726</v>
      </c>
      <c r="C620" s="67">
        <f t="shared" si="45"/>
        <v>2025</v>
      </c>
      <c r="D620" s="67" t="str">
        <f t="shared" si="46"/>
        <v>03 Mar</v>
      </c>
      <c r="E620" s="67" t="s">
        <v>36</v>
      </c>
      <c r="F620" s="67" t="s">
        <v>69</v>
      </c>
      <c r="G620" s="67" t="s">
        <v>68</v>
      </c>
      <c r="H620" s="67" t="s">
        <v>114</v>
      </c>
      <c r="I620" s="71">
        <v>4</v>
      </c>
      <c r="J620" s="72">
        <v>3330</v>
      </c>
      <c r="K620" s="73">
        <v>0.05</v>
      </c>
      <c r="L620" s="72">
        <v>2000</v>
      </c>
      <c r="M620" s="68">
        <f t="shared" si="47"/>
        <v>12654</v>
      </c>
      <c r="N620" s="68">
        <f t="shared" si="48"/>
        <v>8000</v>
      </c>
      <c r="O620" s="68">
        <f t="shared" si="49"/>
        <v>4654</v>
      </c>
    </row>
    <row r="621" spans="1:15" x14ac:dyDescent="0.3">
      <c r="A621" s="67" t="s">
        <v>715</v>
      </c>
      <c r="B621" s="70">
        <v>45726</v>
      </c>
      <c r="C621" s="67">
        <f t="shared" si="45"/>
        <v>2025</v>
      </c>
      <c r="D621" s="67" t="str">
        <f t="shared" si="46"/>
        <v>03 Mar</v>
      </c>
      <c r="E621" s="67" t="s">
        <v>36</v>
      </c>
      <c r="F621" s="67" t="s">
        <v>66</v>
      </c>
      <c r="G621" s="67" t="s">
        <v>38</v>
      </c>
      <c r="H621" s="67" t="s">
        <v>114</v>
      </c>
      <c r="I621" s="71">
        <v>1</v>
      </c>
      <c r="J621" s="72">
        <v>13760</v>
      </c>
      <c r="K621" s="73">
        <v>0.05</v>
      </c>
      <c r="L621" s="72">
        <v>9500</v>
      </c>
      <c r="M621" s="68">
        <f t="shared" si="47"/>
        <v>13072</v>
      </c>
      <c r="N621" s="68">
        <f t="shared" si="48"/>
        <v>9500</v>
      </c>
      <c r="O621" s="68">
        <f t="shared" si="49"/>
        <v>3572</v>
      </c>
    </row>
    <row r="622" spans="1:15" x14ac:dyDescent="0.3">
      <c r="A622" s="67" t="s">
        <v>716</v>
      </c>
      <c r="B622" s="70">
        <v>45727</v>
      </c>
      <c r="C622" s="67">
        <f t="shared" si="45"/>
        <v>2025</v>
      </c>
      <c r="D622" s="67" t="str">
        <f t="shared" si="46"/>
        <v>03 Mar</v>
      </c>
      <c r="E622" s="67" t="s">
        <v>42</v>
      </c>
      <c r="F622" s="67" t="s">
        <v>71</v>
      </c>
      <c r="G622" s="67" t="s">
        <v>55</v>
      </c>
      <c r="H622" s="67" t="s">
        <v>112</v>
      </c>
      <c r="I622" s="71">
        <v>9</v>
      </c>
      <c r="J622" s="72">
        <v>440</v>
      </c>
      <c r="K622" s="73">
        <v>0.05</v>
      </c>
      <c r="L622" s="72">
        <v>250</v>
      </c>
      <c r="M622" s="68">
        <f t="shared" si="47"/>
        <v>3762</v>
      </c>
      <c r="N622" s="68">
        <f t="shared" si="48"/>
        <v>2250</v>
      </c>
      <c r="O622" s="68">
        <f t="shared" si="49"/>
        <v>1512</v>
      </c>
    </row>
    <row r="623" spans="1:15" x14ac:dyDescent="0.3">
      <c r="A623" s="67" t="s">
        <v>717</v>
      </c>
      <c r="B623" s="70">
        <v>45727</v>
      </c>
      <c r="C623" s="67">
        <f t="shared" si="45"/>
        <v>2025</v>
      </c>
      <c r="D623" s="67" t="str">
        <f t="shared" si="46"/>
        <v>03 Mar</v>
      </c>
      <c r="E623" s="67" t="s">
        <v>45</v>
      </c>
      <c r="F623" s="67" t="s">
        <v>70</v>
      </c>
      <c r="G623" s="67" t="s">
        <v>41</v>
      </c>
      <c r="H623" s="67" t="s">
        <v>93</v>
      </c>
      <c r="I623" s="71">
        <v>1</v>
      </c>
      <c r="J623" s="72">
        <v>6290</v>
      </c>
      <c r="K623" s="73">
        <v>0.15</v>
      </c>
      <c r="L623" s="72">
        <v>4200</v>
      </c>
      <c r="M623" s="68">
        <f t="shared" si="47"/>
        <v>5346.5</v>
      </c>
      <c r="N623" s="68">
        <f t="shared" si="48"/>
        <v>4200</v>
      </c>
      <c r="O623" s="68">
        <f t="shared" si="49"/>
        <v>1146.5</v>
      </c>
    </row>
    <row r="624" spans="1:15" x14ac:dyDescent="0.3">
      <c r="A624" s="67" t="s">
        <v>718</v>
      </c>
      <c r="B624" s="70">
        <v>45728</v>
      </c>
      <c r="C624" s="67">
        <f t="shared" si="45"/>
        <v>2025</v>
      </c>
      <c r="D624" s="67" t="str">
        <f t="shared" si="46"/>
        <v>03 Mar</v>
      </c>
      <c r="E624" s="67" t="s">
        <v>36</v>
      </c>
      <c r="F624" s="67" t="s">
        <v>69</v>
      </c>
      <c r="G624" s="67" t="s">
        <v>60</v>
      </c>
      <c r="H624" s="67" t="s">
        <v>114</v>
      </c>
      <c r="I624" s="71">
        <v>2</v>
      </c>
      <c r="J624" s="72">
        <v>24300</v>
      </c>
      <c r="K624" s="73">
        <v>0.1</v>
      </c>
      <c r="L624" s="72">
        <v>18000</v>
      </c>
      <c r="M624" s="68">
        <f t="shared" si="47"/>
        <v>43740</v>
      </c>
      <c r="N624" s="68">
        <f t="shared" si="48"/>
        <v>36000</v>
      </c>
      <c r="O624" s="68">
        <f t="shared" si="49"/>
        <v>7740</v>
      </c>
    </row>
    <row r="625" spans="1:15" x14ac:dyDescent="0.3">
      <c r="A625" s="67" t="s">
        <v>719</v>
      </c>
      <c r="B625" s="70">
        <v>45730</v>
      </c>
      <c r="C625" s="67">
        <f t="shared" si="45"/>
        <v>2025</v>
      </c>
      <c r="D625" s="67" t="str">
        <f t="shared" si="46"/>
        <v>03 Mar</v>
      </c>
      <c r="E625" s="67" t="s">
        <v>42</v>
      </c>
      <c r="F625" s="67" t="s">
        <v>69</v>
      </c>
      <c r="G625" s="67" t="s">
        <v>50</v>
      </c>
      <c r="H625" s="67" t="s">
        <v>112</v>
      </c>
      <c r="I625" s="71">
        <v>2</v>
      </c>
      <c r="J625" s="72">
        <v>55780</v>
      </c>
      <c r="K625" s="73">
        <v>0.05</v>
      </c>
      <c r="L625" s="72">
        <v>42000</v>
      </c>
      <c r="M625" s="68">
        <f t="shared" si="47"/>
        <v>105982</v>
      </c>
      <c r="N625" s="68">
        <f t="shared" si="48"/>
        <v>84000</v>
      </c>
      <c r="O625" s="68">
        <f t="shared" si="49"/>
        <v>21982</v>
      </c>
    </row>
    <row r="626" spans="1:15" x14ac:dyDescent="0.3">
      <c r="A626" s="67" t="s">
        <v>720</v>
      </c>
      <c r="B626" s="70">
        <v>45730</v>
      </c>
      <c r="C626" s="67">
        <f t="shared" si="45"/>
        <v>2025</v>
      </c>
      <c r="D626" s="67" t="str">
        <f t="shared" si="46"/>
        <v>03 Mar</v>
      </c>
      <c r="E626" s="67" t="s">
        <v>45</v>
      </c>
      <c r="F626" s="67" t="s">
        <v>70</v>
      </c>
      <c r="G626" s="67" t="s">
        <v>41</v>
      </c>
      <c r="H626" s="67" t="s">
        <v>87</v>
      </c>
      <c r="I626" s="71">
        <v>3</v>
      </c>
      <c r="J626" s="72">
        <v>6180</v>
      </c>
      <c r="K626" s="73">
        <v>0</v>
      </c>
      <c r="L626" s="72">
        <v>4200</v>
      </c>
      <c r="M626" s="68">
        <f t="shared" si="47"/>
        <v>18540</v>
      </c>
      <c r="N626" s="68">
        <f t="shared" si="48"/>
        <v>12600</v>
      </c>
      <c r="O626" s="68">
        <f t="shared" si="49"/>
        <v>5940</v>
      </c>
    </row>
    <row r="627" spans="1:15" x14ac:dyDescent="0.3">
      <c r="A627" s="67" t="s">
        <v>721</v>
      </c>
      <c r="B627" s="70">
        <v>45731</v>
      </c>
      <c r="C627" s="67">
        <f t="shared" si="45"/>
        <v>2025</v>
      </c>
      <c r="D627" s="67" t="str">
        <f t="shared" si="46"/>
        <v>03 Mar</v>
      </c>
      <c r="E627" s="67" t="s">
        <v>48</v>
      </c>
      <c r="F627" s="67" t="s">
        <v>70</v>
      </c>
      <c r="G627" s="67" t="s">
        <v>41</v>
      </c>
      <c r="H627" s="67" t="s">
        <v>95</v>
      </c>
      <c r="I627" s="71">
        <v>3</v>
      </c>
      <c r="J627" s="72">
        <v>6330</v>
      </c>
      <c r="K627" s="73">
        <v>0</v>
      </c>
      <c r="L627" s="72">
        <v>4200</v>
      </c>
      <c r="M627" s="68">
        <f t="shared" si="47"/>
        <v>18990</v>
      </c>
      <c r="N627" s="68">
        <f t="shared" si="48"/>
        <v>12600</v>
      </c>
      <c r="O627" s="68">
        <f t="shared" si="49"/>
        <v>6390</v>
      </c>
    </row>
    <row r="628" spans="1:15" x14ac:dyDescent="0.3">
      <c r="A628" s="67" t="s">
        <v>722</v>
      </c>
      <c r="B628" s="70">
        <v>45734</v>
      </c>
      <c r="C628" s="67">
        <f t="shared" si="45"/>
        <v>2025</v>
      </c>
      <c r="D628" s="67" t="str">
        <f t="shared" si="46"/>
        <v>03 Mar</v>
      </c>
      <c r="E628" s="67" t="s">
        <v>39</v>
      </c>
      <c r="F628" s="67" t="s">
        <v>70</v>
      </c>
      <c r="G628" s="67" t="s">
        <v>58</v>
      </c>
      <c r="H628" s="67" t="s">
        <v>100</v>
      </c>
      <c r="I628" s="71">
        <v>4</v>
      </c>
      <c r="J628" s="72">
        <v>9240</v>
      </c>
      <c r="K628" s="73">
        <v>0.05</v>
      </c>
      <c r="L628" s="72">
        <v>6000</v>
      </c>
      <c r="M628" s="68">
        <f t="shared" si="47"/>
        <v>35112</v>
      </c>
      <c r="N628" s="68">
        <f t="shared" si="48"/>
        <v>24000</v>
      </c>
      <c r="O628" s="68">
        <f t="shared" si="49"/>
        <v>11112</v>
      </c>
    </row>
    <row r="629" spans="1:15" x14ac:dyDescent="0.3">
      <c r="A629" s="67" t="s">
        <v>723</v>
      </c>
      <c r="B629" s="70">
        <v>45735</v>
      </c>
      <c r="C629" s="67">
        <f t="shared" si="45"/>
        <v>2025</v>
      </c>
      <c r="D629" s="67" t="str">
        <f t="shared" si="46"/>
        <v>03 Mar</v>
      </c>
      <c r="E629" s="67" t="s">
        <v>42</v>
      </c>
      <c r="F629" s="67" t="s">
        <v>66</v>
      </c>
      <c r="G629" s="67" t="s">
        <v>53</v>
      </c>
      <c r="H629" s="67" t="s">
        <v>89</v>
      </c>
      <c r="I629" s="71">
        <v>2</v>
      </c>
      <c r="J629" s="72">
        <v>11000</v>
      </c>
      <c r="K629" s="73">
        <v>0.05</v>
      </c>
      <c r="L629" s="72">
        <v>8000</v>
      </c>
      <c r="M629" s="68">
        <f t="shared" si="47"/>
        <v>20900</v>
      </c>
      <c r="N629" s="68">
        <f t="shared" si="48"/>
        <v>16000</v>
      </c>
      <c r="O629" s="68">
        <f t="shared" si="49"/>
        <v>4900</v>
      </c>
    </row>
    <row r="630" spans="1:15" x14ac:dyDescent="0.3">
      <c r="A630" s="67" t="s">
        <v>724</v>
      </c>
      <c r="B630" s="70">
        <v>45735</v>
      </c>
      <c r="C630" s="67">
        <f t="shared" si="45"/>
        <v>2025</v>
      </c>
      <c r="D630" s="67" t="str">
        <f t="shared" si="46"/>
        <v>03 Mar</v>
      </c>
      <c r="E630" s="67" t="s">
        <v>48</v>
      </c>
      <c r="F630" s="67" t="s">
        <v>71</v>
      </c>
      <c r="G630" s="67" t="s">
        <v>47</v>
      </c>
      <c r="H630" s="67" t="s">
        <v>95</v>
      </c>
      <c r="I630" s="71">
        <v>49</v>
      </c>
      <c r="J630" s="72">
        <v>310</v>
      </c>
      <c r="K630" s="73">
        <v>0.05</v>
      </c>
      <c r="L630" s="72">
        <v>160</v>
      </c>
      <c r="M630" s="68">
        <f t="shared" si="47"/>
        <v>14430.5</v>
      </c>
      <c r="N630" s="68">
        <f t="shared" si="48"/>
        <v>7840</v>
      </c>
      <c r="O630" s="68">
        <f t="shared" si="49"/>
        <v>6590.5</v>
      </c>
    </row>
    <row r="631" spans="1:15" x14ac:dyDescent="0.3">
      <c r="A631" s="67" t="s">
        <v>725</v>
      </c>
      <c r="B631" s="70">
        <v>45736</v>
      </c>
      <c r="C631" s="67">
        <f t="shared" si="45"/>
        <v>2025</v>
      </c>
      <c r="D631" s="67" t="str">
        <f t="shared" si="46"/>
        <v>03 Mar</v>
      </c>
      <c r="E631" s="67" t="s">
        <v>45</v>
      </c>
      <c r="F631" s="67" t="s">
        <v>66</v>
      </c>
      <c r="G631" s="67" t="s">
        <v>38</v>
      </c>
      <c r="H631" s="67" t="s">
        <v>87</v>
      </c>
      <c r="I631" s="71">
        <v>1</v>
      </c>
      <c r="J631" s="72">
        <v>14670</v>
      </c>
      <c r="K631" s="73">
        <v>0.05</v>
      </c>
      <c r="L631" s="72">
        <v>9500</v>
      </c>
      <c r="M631" s="68">
        <f t="shared" si="47"/>
        <v>13936.5</v>
      </c>
      <c r="N631" s="68">
        <f t="shared" si="48"/>
        <v>9500</v>
      </c>
      <c r="O631" s="68">
        <f t="shared" si="49"/>
        <v>4436.5</v>
      </c>
    </row>
    <row r="632" spans="1:15" x14ac:dyDescent="0.3">
      <c r="A632" s="67" t="s">
        <v>726</v>
      </c>
      <c r="B632" s="70">
        <v>45738</v>
      </c>
      <c r="C632" s="67">
        <f t="shared" si="45"/>
        <v>2025</v>
      </c>
      <c r="D632" s="67" t="str">
        <f t="shared" si="46"/>
        <v>03 Mar</v>
      </c>
      <c r="E632" s="67" t="s">
        <v>39</v>
      </c>
      <c r="F632" s="67" t="s">
        <v>69</v>
      </c>
      <c r="G632" s="67" t="s">
        <v>50</v>
      </c>
      <c r="H632" s="67" t="s">
        <v>100</v>
      </c>
      <c r="I632" s="71">
        <v>1</v>
      </c>
      <c r="J632" s="72">
        <v>55630</v>
      </c>
      <c r="K632" s="73">
        <v>0</v>
      </c>
      <c r="L632" s="72">
        <v>42000</v>
      </c>
      <c r="M632" s="68">
        <f t="shared" si="47"/>
        <v>55630</v>
      </c>
      <c r="N632" s="68">
        <f t="shared" si="48"/>
        <v>42000</v>
      </c>
      <c r="O632" s="68">
        <f t="shared" si="49"/>
        <v>13630</v>
      </c>
    </row>
    <row r="633" spans="1:15" x14ac:dyDescent="0.3">
      <c r="A633" s="67" t="s">
        <v>727</v>
      </c>
      <c r="B633" s="70">
        <v>45739</v>
      </c>
      <c r="C633" s="67">
        <f t="shared" si="45"/>
        <v>2025</v>
      </c>
      <c r="D633" s="67" t="str">
        <f t="shared" si="46"/>
        <v>03 Mar</v>
      </c>
      <c r="E633" s="67" t="s">
        <v>45</v>
      </c>
      <c r="F633" s="67" t="s">
        <v>66</v>
      </c>
      <c r="G633" s="67" t="s">
        <v>53</v>
      </c>
      <c r="H633" s="67" t="s">
        <v>93</v>
      </c>
      <c r="I633" s="71">
        <v>1</v>
      </c>
      <c r="J633" s="72">
        <v>10860</v>
      </c>
      <c r="K633" s="73">
        <v>0</v>
      </c>
      <c r="L633" s="72">
        <v>8000</v>
      </c>
      <c r="M633" s="68">
        <f t="shared" si="47"/>
        <v>10860</v>
      </c>
      <c r="N633" s="68">
        <f t="shared" si="48"/>
        <v>8000</v>
      </c>
      <c r="O633" s="68">
        <f t="shared" si="49"/>
        <v>2860</v>
      </c>
    </row>
    <row r="634" spans="1:15" x14ac:dyDescent="0.3">
      <c r="A634" s="67" t="s">
        <v>728</v>
      </c>
      <c r="B634" s="70">
        <v>45739</v>
      </c>
      <c r="C634" s="67">
        <f t="shared" si="45"/>
        <v>2025</v>
      </c>
      <c r="D634" s="67" t="str">
        <f t="shared" si="46"/>
        <v>03 Mar</v>
      </c>
      <c r="E634" s="67" t="s">
        <v>36</v>
      </c>
      <c r="F634" s="67" t="s">
        <v>71</v>
      </c>
      <c r="G634" s="67" t="s">
        <v>44</v>
      </c>
      <c r="H634" s="67" t="s">
        <v>91</v>
      </c>
      <c r="I634" s="71">
        <v>15</v>
      </c>
      <c r="J634" s="72">
        <v>730</v>
      </c>
      <c r="K634" s="73">
        <v>0.15</v>
      </c>
      <c r="L634" s="72">
        <v>380</v>
      </c>
      <c r="M634" s="68">
        <f t="shared" si="47"/>
        <v>9307.5</v>
      </c>
      <c r="N634" s="68">
        <f t="shared" si="48"/>
        <v>5700</v>
      </c>
      <c r="O634" s="68">
        <f t="shared" si="49"/>
        <v>3607.5</v>
      </c>
    </row>
    <row r="635" spans="1:15" x14ac:dyDescent="0.3">
      <c r="A635" s="67" t="s">
        <v>729</v>
      </c>
      <c r="B635" s="70">
        <v>45739</v>
      </c>
      <c r="C635" s="67">
        <f t="shared" si="45"/>
        <v>2025</v>
      </c>
      <c r="D635" s="67" t="str">
        <f t="shared" si="46"/>
        <v>03 Mar</v>
      </c>
      <c r="E635" s="67" t="s">
        <v>45</v>
      </c>
      <c r="F635" s="67" t="s">
        <v>69</v>
      </c>
      <c r="G635" s="67" t="s">
        <v>50</v>
      </c>
      <c r="H635" s="67" t="s">
        <v>93</v>
      </c>
      <c r="I635" s="71">
        <v>2</v>
      </c>
      <c r="J635" s="72">
        <v>53070</v>
      </c>
      <c r="K635" s="73">
        <v>0.05</v>
      </c>
      <c r="L635" s="72">
        <v>42000</v>
      </c>
      <c r="M635" s="68">
        <f t="shared" si="47"/>
        <v>100833</v>
      </c>
      <c r="N635" s="68">
        <f t="shared" si="48"/>
        <v>84000</v>
      </c>
      <c r="O635" s="68">
        <f t="shared" si="49"/>
        <v>16833</v>
      </c>
    </row>
    <row r="636" spans="1:15" x14ac:dyDescent="0.3">
      <c r="A636" s="67" t="s">
        <v>730</v>
      </c>
      <c r="B636" s="70">
        <v>45740</v>
      </c>
      <c r="C636" s="67">
        <f t="shared" si="45"/>
        <v>2025</v>
      </c>
      <c r="D636" s="67" t="str">
        <f t="shared" si="46"/>
        <v>03 Mar</v>
      </c>
      <c r="E636" s="67" t="s">
        <v>48</v>
      </c>
      <c r="F636" s="67" t="s">
        <v>69</v>
      </c>
      <c r="G636" s="67" t="s">
        <v>60</v>
      </c>
      <c r="H636" s="67" t="s">
        <v>98</v>
      </c>
      <c r="I636" s="71">
        <v>1</v>
      </c>
      <c r="J636" s="72">
        <v>23850</v>
      </c>
      <c r="K636" s="73">
        <v>0</v>
      </c>
      <c r="L636" s="72">
        <v>18000</v>
      </c>
      <c r="M636" s="68">
        <f t="shared" si="47"/>
        <v>23850</v>
      </c>
      <c r="N636" s="68">
        <f t="shared" si="48"/>
        <v>18000</v>
      </c>
      <c r="O636" s="68">
        <f t="shared" si="49"/>
        <v>5850</v>
      </c>
    </row>
    <row r="637" spans="1:15" x14ac:dyDescent="0.3">
      <c r="A637" s="67" t="s">
        <v>731</v>
      </c>
      <c r="B637" s="70">
        <v>45741</v>
      </c>
      <c r="C637" s="67">
        <f t="shared" si="45"/>
        <v>2025</v>
      </c>
      <c r="D637" s="67" t="str">
        <f t="shared" si="46"/>
        <v>03 Mar</v>
      </c>
      <c r="E637" s="67" t="s">
        <v>42</v>
      </c>
      <c r="F637" s="67" t="s">
        <v>69</v>
      </c>
      <c r="G637" s="67" t="s">
        <v>60</v>
      </c>
      <c r="H637" s="67" t="s">
        <v>112</v>
      </c>
      <c r="I637" s="71">
        <v>2</v>
      </c>
      <c r="J637" s="72">
        <v>24310</v>
      </c>
      <c r="K637" s="73">
        <v>0.05</v>
      </c>
      <c r="L637" s="72">
        <v>18000</v>
      </c>
      <c r="M637" s="68">
        <f t="shared" si="47"/>
        <v>46189</v>
      </c>
      <c r="N637" s="68">
        <f t="shared" si="48"/>
        <v>36000</v>
      </c>
      <c r="O637" s="68">
        <f t="shared" si="49"/>
        <v>10189</v>
      </c>
    </row>
    <row r="638" spans="1:15" x14ac:dyDescent="0.3">
      <c r="A638" s="67" t="s">
        <v>732</v>
      </c>
      <c r="B638" s="70">
        <v>45742</v>
      </c>
      <c r="C638" s="67">
        <f t="shared" si="45"/>
        <v>2025</v>
      </c>
      <c r="D638" s="67" t="str">
        <f t="shared" si="46"/>
        <v>03 Mar</v>
      </c>
      <c r="E638" s="67" t="s">
        <v>39</v>
      </c>
      <c r="F638" s="67" t="s">
        <v>69</v>
      </c>
      <c r="G638" s="67" t="s">
        <v>68</v>
      </c>
      <c r="H638" s="67" t="s">
        <v>100</v>
      </c>
      <c r="I638" s="71">
        <v>6</v>
      </c>
      <c r="J638" s="72">
        <v>3500</v>
      </c>
      <c r="K638" s="73">
        <v>0</v>
      </c>
      <c r="L638" s="72">
        <v>2000</v>
      </c>
      <c r="M638" s="68">
        <f t="shared" si="47"/>
        <v>21000</v>
      </c>
      <c r="N638" s="68">
        <f t="shared" si="48"/>
        <v>12000</v>
      </c>
      <c r="O638" s="68">
        <f t="shared" si="49"/>
        <v>9000</v>
      </c>
    </row>
    <row r="639" spans="1:15" x14ac:dyDescent="0.3">
      <c r="A639" s="67" t="s">
        <v>733</v>
      </c>
      <c r="B639" s="70">
        <v>45743</v>
      </c>
      <c r="C639" s="67">
        <f t="shared" si="45"/>
        <v>2025</v>
      </c>
      <c r="D639" s="67" t="str">
        <f t="shared" si="46"/>
        <v>03 Mar</v>
      </c>
      <c r="E639" s="67" t="s">
        <v>36</v>
      </c>
      <c r="F639" s="67" t="s">
        <v>69</v>
      </c>
      <c r="G639" s="67" t="s">
        <v>68</v>
      </c>
      <c r="H639" s="67" t="s">
        <v>114</v>
      </c>
      <c r="I639" s="71">
        <v>4</v>
      </c>
      <c r="J639" s="72">
        <v>3360</v>
      </c>
      <c r="K639" s="73">
        <v>0.15</v>
      </c>
      <c r="L639" s="72">
        <v>2000</v>
      </c>
      <c r="M639" s="68">
        <f t="shared" si="47"/>
        <v>11424</v>
      </c>
      <c r="N639" s="68">
        <f t="shared" si="48"/>
        <v>8000</v>
      </c>
      <c r="O639" s="68">
        <f t="shared" si="49"/>
        <v>3424</v>
      </c>
    </row>
    <row r="640" spans="1:15" x14ac:dyDescent="0.3">
      <c r="A640" s="67" t="s">
        <v>734</v>
      </c>
      <c r="B640" s="70">
        <v>45743</v>
      </c>
      <c r="C640" s="67">
        <f t="shared" si="45"/>
        <v>2025</v>
      </c>
      <c r="D640" s="67" t="str">
        <f t="shared" si="46"/>
        <v>03 Mar</v>
      </c>
      <c r="E640" s="67" t="s">
        <v>42</v>
      </c>
      <c r="F640" s="67" t="s">
        <v>66</v>
      </c>
      <c r="G640" s="67" t="s">
        <v>65</v>
      </c>
      <c r="H640" s="67" t="s">
        <v>89</v>
      </c>
      <c r="I640" s="71">
        <v>2</v>
      </c>
      <c r="J640" s="72">
        <v>13270</v>
      </c>
      <c r="K640" s="73">
        <v>0</v>
      </c>
      <c r="L640" s="72">
        <v>9000</v>
      </c>
      <c r="M640" s="68">
        <f t="shared" si="47"/>
        <v>26540</v>
      </c>
      <c r="N640" s="68">
        <f t="shared" si="48"/>
        <v>18000</v>
      </c>
      <c r="O640" s="68">
        <f t="shared" si="49"/>
        <v>8540</v>
      </c>
    </row>
    <row r="641" spans="1:15" x14ac:dyDescent="0.3">
      <c r="A641" s="67" t="s">
        <v>735</v>
      </c>
      <c r="B641" s="70">
        <v>45743</v>
      </c>
      <c r="C641" s="67">
        <f t="shared" si="45"/>
        <v>2025</v>
      </c>
      <c r="D641" s="67" t="str">
        <f t="shared" si="46"/>
        <v>03 Mar</v>
      </c>
      <c r="E641" s="67" t="s">
        <v>45</v>
      </c>
      <c r="F641" s="67" t="s">
        <v>70</v>
      </c>
      <c r="G641" s="67" t="s">
        <v>41</v>
      </c>
      <c r="H641" s="67" t="s">
        <v>93</v>
      </c>
      <c r="I641" s="71">
        <v>3</v>
      </c>
      <c r="J641" s="72">
        <v>6710</v>
      </c>
      <c r="K641" s="73">
        <v>0.15</v>
      </c>
      <c r="L641" s="72">
        <v>4200</v>
      </c>
      <c r="M641" s="68">
        <f t="shared" si="47"/>
        <v>17110.5</v>
      </c>
      <c r="N641" s="68">
        <f t="shared" si="48"/>
        <v>12600</v>
      </c>
      <c r="O641" s="68">
        <f t="shared" si="49"/>
        <v>4510.5</v>
      </c>
    </row>
    <row r="642" spans="1:15" x14ac:dyDescent="0.3">
      <c r="A642" s="67" t="s">
        <v>736</v>
      </c>
      <c r="B642" s="70">
        <v>45743</v>
      </c>
      <c r="C642" s="67">
        <f t="shared" ref="C642:C705" si="50">YEAR(B642)</f>
        <v>2025</v>
      </c>
      <c r="D642" s="67" t="str">
        <f t="shared" ref="D642:D705" si="51">CHOOSE(MONTH(B642),"01 Jan","02 Feb","03 Mar","04 Apr","05 May","06 Jun","07 Jul","08 Aug","09 Sep","10 Oct","11 Nov","12 Dec")</f>
        <v>03 Mar</v>
      </c>
      <c r="E642" s="67" t="s">
        <v>45</v>
      </c>
      <c r="F642" s="67" t="s">
        <v>71</v>
      </c>
      <c r="G642" s="67" t="s">
        <v>55</v>
      </c>
      <c r="H642" s="67" t="s">
        <v>87</v>
      </c>
      <c r="I642" s="71">
        <v>24</v>
      </c>
      <c r="J642" s="72">
        <v>440</v>
      </c>
      <c r="K642" s="73">
        <v>0.05</v>
      </c>
      <c r="L642" s="72">
        <v>250</v>
      </c>
      <c r="M642" s="68">
        <f t="shared" ref="M642:M705" si="52">I642*J642*(1-K642)</f>
        <v>10032</v>
      </c>
      <c r="N642" s="68">
        <f t="shared" ref="N642:N705" si="53">I642*L642</f>
        <v>6000</v>
      </c>
      <c r="O642" s="68">
        <f t="shared" ref="O642:O705" si="54">M642-N642</f>
        <v>4032</v>
      </c>
    </row>
    <row r="643" spans="1:15" x14ac:dyDescent="0.3">
      <c r="A643" s="67" t="s">
        <v>737</v>
      </c>
      <c r="B643" s="70">
        <v>45748</v>
      </c>
      <c r="C643" s="67">
        <f t="shared" si="50"/>
        <v>2025</v>
      </c>
      <c r="D643" s="67" t="str">
        <f t="shared" si="51"/>
        <v>04 Apr</v>
      </c>
      <c r="E643" s="67" t="s">
        <v>42</v>
      </c>
      <c r="F643" s="67" t="s">
        <v>71</v>
      </c>
      <c r="G643" s="67" t="s">
        <v>44</v>
      </c>
      <c r="H643" s="67" t="s">
        <v>112</v>
      </c>
      <c r="I643" s="71">
        <v>13</v>
      </c>
      <c r="J643" s="72">
        <v>690</v>
      </c>
      <c r="K643" s="73">
        <v>0</v>
      </c>
      <c r="L643" s="72">
        <v>380</v>
      </c>
      <c r="M643" s="68">
        <f t="shared" si="52"/>
        <v>8970</v>
      </c>
      <c r="N643" s="68">
        <f t="shared" si="53"/>
        <v>4940</v>
      </c>
      <c r="O643" s="68">
        <f t="shared" si="54"/>
        <v>4030</v>
      </c>
    </row>
    <row r="644" spans="1:15" x14ac:dyDescent="0.3">
      <c r="A644" s="67" t="s">
        <v>738</v>
      </c>
      <c r="B644" s="70">
        <v>45749</v>
      </c>
      <c r="C644" s="67">
        <f t="shared" si="50"/>
        <v>2025</v>
      </c>
      <c r="D644" s="67" t="str">
        <f t="shared" si="51"/>
        <v>04 Apr</v>
      </c>
      <c r="E644" s="67" t="s">
        <v>42</v>
      </c>
      <c r="F644" s="67" t="s">
        <v>66</v>
      </c>
      <c r="G644" s="67" t="s">
        <v>65</v>
      </c>
      <c r="H644" s="67" t="s">
        <v>112</v>
      </c>
      <c r="I644" s="71">
        <v>1</v>
      </c>
      <c r="J644" s="72">
        <v>13680</v>
      </c>
      <c r="K644" s="73">
        <v>0.05</v>
      </c>
      <c r="L644" s="72">
        <v>9000</v>
      </c>
      <c r="M644" s="68">
        <f t="shared" si="52"/>
        <v>12996</v>
      </c>
      <c r="N644" s="68">
        <f t="shared" si="53"/>
        <v>9000</v>
      </c>
      <c r="O644" s="68">
        <f t="shared" si="54"/>
        <v>3996</v>
      </c>
    </row>
    <row r="645" spans="1:15" x14ac:dyDescent="0.3">
      <c r="A645" s="67" t="s">
        <v>739</v>
      </c>
      <c r="B645" s="70">
        <v>45750</v>
      </c>
      <c r="C645" s="67">
        <f t="shared" si="50"/>
        <v>2025</v>
      </c>
      <c r="D645" s="67" t="str">
        <f t="shared" si="51"/>
        <v>04 Apr</v>
      </c>
      <c r="E645" s="67" t="s">
        <v>45</v>
      </c>
      <c r="F645" s="67" t="s">
        <v>69</v>
      </c>
      <c r="G645" s="67" t="s">
        <v>60</v>
      </c>
      <c r="H645" s="67" t="s">
        <v>87</v>
      </c>
      <c r="I645" s="71">
        <v>2</v>
      </c>
      <c r="J645" s="72">
        <v>23340</v>
      </c>
      <c r="K645" s="73">
        <v>0</v>
      </c>
      <c r="L645" s="72">
        <v>18000</v>
      </c>
      <c r="M645" s="68">
        <f t="shared" si="52"/>
        <v>46680</v>
      </c>
      <c r="N645" s="68">
        <f t="shared" si="53"/>
        <v>36000</v>
      </c>
      <c r="O645" s="68">
        <f t="shared" si="54"/>
        <v>10680</v>
      </c>
    </row>
    <row r="646" spans="1:15" x14ac:dyDescent="0.3">
      <c r="A646" s="67" t="s">
        <v>740</v>
      </c>
      <c r="B646" s="70">
        <v>45752</v>
      </c>
      <c r="C646" s="67">
        <f t="shared" si="50"/>
        <v>2025</v>
      </c>
      <c r="D646" s="67" t="str">
        <f t="shared" si="51"/>
        <v>04 Apr</v>
      </c>
      <c r="E646" s="67" t="s">
        <v>39</v>
      </c>
      <c r="F646" s="67" t="s">
        <v>69</v>
      </c>
      <c r="G646" s="67" t="s">
        <v>60</v>
      </c>
      <c r="H646" s="67" t="s">
        <v>107</v>
      </c>
      <c r="I646" s="71">
        <v>1</v>
      </c>
      <c r="J646" s="72">
        <v>23090</v>
      </c>
      <c r="K646" s="73">
        <v>0</v>
      </c>
      <c r="L646" s="72">
        <v>18000</v>
      </c>
      <c r="M646" s="68">
        <f t="shared" si="52"/>
        <v>23090</v>
      </c>
      <c r="N646" s="68">
        <f t="shared" si="53"/>
        <v>18000</v>
      </c>
      <c r="O646" s="68">
        <f t="shared" si="54"/>
        <v>5090</v>
      </c>
    </row>
    <row r="647" spans="1:15" x14ac:dyDescent="0.3">
      <c r="A647" s="67" t="s">
        <v>741</v>
      </c>
      <c r="B647" s="70">
        <v>45753</v>
      </c>
      <c r="C647" s="67">
        <f t="shared" si="50"/>
        <v>2025</v>
      </c>
      <c r="D647" s="67" t="str">
        <f t="shared" si="51"/>
        <v>04 Apr</v>
      </c>
      <c r="E647" s="67" t="s">
        <v>48</v>
      </c>
      <c r="F647" s="67" t="s">
        <v>66</v>
      </c>
      <c r="G647" s="67" t="s">
        <v>65</v>
      </c>
      <c r="H647" s="67" t="s">
        <v>95</v>
      </c>
      <c r="I647" s="71">
        <v>1</v>
      </c>
      <c r="J647" s="72">
        <v>13600</v>
      </c>
      <c r="K647" s="73">
        <v>0</v>
      </c>
      <c r="L647" s="72">
        <v>9000</v>
      </c>
      <c r="M647" s="68">
        <f t="shared" si="52"/>
        <v>13600</v>
      </c>
      <c r="N647" s="68">
        <f t="shared" si="53"/>
        <v>9000</v>
      </c>
      <c r="O647" s="68">
        <f t="shared" si="54"/>
        <v>4600</v>
      </c>
    </row>
    <row r="648" spans="1:15" x14ac:dyDescent="0.3">
      <c r="A648" s="67" t="s">
        <v>742</v>
      </c>
      <c r="B648" s="70">
        <v>45754</v>
      </c>
      <c r="C648" s="67">
        <f t="shared" si="50"/>
        <v>2025</v>
      </c>
      <c r="D648" s="67" t="str">
        <f t="shared" si="51"/>
        <v>04 Apr</v>
      </c>
      <c r="E648" s="67" t="s">
        <v>48</v>
      </c>
      <c r="F648" s="67" t="s">
        <v>71</v>
      </c>
      <c r="G648" s="67" t="s">
        <v>55</v>
      </c>
      <c r="H648" s="67" t="s">
        <v>95</v>
      </c>
      <c r="I648" s="71">
        <v>25</v>
      </c>
      <c r="J648" s="72">
        <v>460</v>
      </c>
      <c r="K648" s="73">
        <v>0.05</v>
      </c>
      <c r="L648" s="72">
        <v>250</v>
      </c>
      <c r="M648" s="68">
        <f t="shared" si="52"/>
        <v>10925</v>
      </c>
      <c r="N648" s="68">
        <f t="shared" si="53"/>
        <v>6250</v>
      </c>
      <c r="O648" s="68">
        <f t="shared" si="54"/>
        <v>4675</v>
      </c>
    </row>
    <row r="649" spans="1:15" x14ac:dyDescent="0.3">
      <c r="A649" s="67" t="s">
        <v>743</v>
      </c>
      <c r="B649" s="70">
        <v>45755</v>
      </c>
      <c r="C649" s="67">
        <f t="shared" si="50"/>
        <v>2025</v>
      </c>
      <c r="D649" s="67" t="str">
        <f t="shared" si="51"/>
        <v>04 Apr</v>
      </c>
      <c r="E649" s="67" t="s">
        <v>39</v>
      </c>
      <c r="F649" s="67" t="s">
        <v>71</v>
      </c>
      <c r="G649" s="67" t="s">
        <v>47</v>
      </c>
      <c r="H649" s="67" t="s">
        <v>100</v>
      </c>
      <c r="I649" s="71">
        <v>49</v>
      </c>
      <c r="J649" s="72">
        <v>310</v>
      </c>
      <c r="K649" s="73">
        <v>0.05</v>
      </c>
      <c r="L649" s="72">
        <v>160</v>
      </c>
      <c r="M649" s="68">
        <f t="shared" si="52"/>
        <v>14430.5</v>
      </c>
      <c r="N649" s="68">
        <f t="shared" si="53"/>
        <v>7840</v>
      </c>
      <c r="O649" s="68">
        <f t="shared" si="54"/>
        <v>6590.5</v>
      </c>
    </row>
    <row r="650" spans="1:15" x14ac:dyDescent="0.3">
      <c r="A650" s="67" t="s">
        <v>744</v>
      </c>
      <c r="B650" s="70">
        <v>45755</v>
      </c>
      <c r="C650" s="67">
        <f t="shared" si="50"/>
        <v>2025</v>
      </c>
      <c r="D650" s="67" t="str">
        <f t="shared" si="51"/>
        <v>04 Apr</v>
      </c>
      <c r="E650" s="67" t="s">
        <v>36</v>
      </c>
      <c r="F650" s="67" t="s">
        <v>69</v>
      </c>
      <c r="G650" s="67" t="s">
        <v>68</v>
      </c>
      <c r="H650" s="67" t="s">
        <v>114</v>
      </c>
      <c r="I650" s="71">
        <v>2</v>
      </c>
      <c r="J650" s="72">
        <v>3510</v>
      </c>
      <c r="K650" s="73">
        <v>0.15</v>
      </c>
      <c r="L650" s="72">
        <v>2000</v>
      </c>
      <c r="M650" s="68">
        <f t="shared" si="52"/>
        <v>5967</v>
      </c>
      <c r="N650" s="68">
        <f t="shared" si="53"/>
        <v>4000</v>
      </c>
      <c r="O650" s="68">
        <f t="shared" si="54"/>
        <v>1967</v>
      </c>
    </row>
    <row r="651" spans="1:15" x14ac:dyDescent="0.3">
      <c r="A651" s="67" t="s">
        <v>745</v>
      </c>
      <c r="B651" s="70">
        <v>45759</v>
      </c>
      <c r="C651" s="67">
        <f t="shared" si="50"/>
        <v>2025</v>
      </c>
      <c r="D651" s="67" t="str">
        <f t="shared" si="51"/>
        <v>04 Apr</v>
      </c>
      <c r="E651" s="67" t="s">
        <v>39</v>
      </c>
      <c r="F651" s="67" t="s">
        <v>70</v>
      </c>
      <c r="G651" s="67" t="s">
        <v>62</v>
      </c>
      <c r="H651" s="67" t="s">
        <v>100</v>
      </c>
      <c r="I651" s="71">
        <v>2</v>
      </c>
      <c r="J651" s="72">
        <v>17890</v>
      </c>
      <c r="K651" s="73">
        <v>0</v>
      </c>
      <c r="L651" s="72">
        <v>12500</v>
      </c>
      <c r="M651" s="68">
        <f t="shared" si="52"/>
        <v>35780</v>
      </c>
      <c r="N651" s="68">
        <f t="shared" si="53"/>
        <v>25000</v>
      </c>
      <c r="O651" s="68">
        <f t="shared" si="54"/>
        <v>10780</v>
      </c>
    </row>
    <row r="652" spans="1:15" x14ac:dyDescent="0.3">
      <c r="A652" s="67" t="s">
        <v>746</v>
      </c>
      <c r="B652" s="70">
        <v>45760</v>
      </c>
      <c r="C652" s="67">
        <f t="shared" si="50"/>
        <v>2025</v>
      </c>
      <c r="D652" s="67" t="str">
        <f t="shared" si="51"/>
        <v>04 Apr</v>
      </c>
      <c r="E652" s="67" t="s">
        <v>45</v>
      </c>
      <c r="F652" s="67" t="s">
        <v>66</v>
      </c>
      <c r="G652" s="67" t="s">
        <v>38</v>
      </c>
      <c r="H652" s="67" t="s">
        <v>93</v>
      </c>
      <c r="I652" s="71">
        <v>1</v>
      </c>
      <c r="J652" s="72">
        <v>13400</v>
      </c>
      <c r="K652" s="73">
        <v>0.05</v>
      </c>
      <c r="L652" s="72">
        <v>9500</v>
      </c>
      <c r="M652" s="68">
        <f t="shared" si="52"/>
        <v>12730</v>
      </c>
      <c r="N652" s="68">
        <f t="shared" si="53"/>
        <v>9500</v>
      </c>
      <c r="O652" s="68">
        <f t="shared" si="54"/>
        <v>3230</v>
      </c>
    </row>
    <row r="653" spans="1:15" x14ac:dyDescent="0.3">
      <c r="A653" s="67" t="s">
        <v>747</v>
      </c>
      <c r="B653" s="70">
        <v>45762</v>
      </c>
      <c r="C653" s="67">
        <f t="shared" si="50"/>
        <v>2025</v>
      </c>
      <c r="D653" s="67" t="str">
        <f t="shared" si="51"/>
        <v>04 Apr</v>
      </c>
      <c r="E653" s="67" t="s">
        <v>45</v>
      </c>
      <c r="F653" s="67" t="s">
        <v>71</v>
      </c>
      <c r="G653" s="67" t="s">
        <v>55</v>
      </c>
      <c r="H653" s="67" t="s">
        <v>87</v>
      </c>
      <c r="I653" s="71">
        <v>15</v>
      </c>
      <c r="J653" s="72">
        <v>450</v>
      </c>
      <c r="K653" s="73">
        <v>0</v>
      </c>
      <c r="L653" s="72">
        <v>250</v>
      </c>
      <c r="M653" s="68">
        <f t="shared" si="52"/>
        <v>6750</v>
      </c>
      <c r="N653" s="68">
        <f t="shared" si="53"/>
        <v>3750</v>
      </c>
      <c r="O653" s="68">
        <f t="shared" si="54"/>
        <v>3000</v>
      </c>
    </row>
    <row r="654" spans="1:15" x14ac:dyDescent="0.3">
      <c r="A654" s="67" t="s">
        <v>748</v>
      </c>
      <c r="B654" s="70">
        <v>45762</v>
      </c>
      <c r="C654" s="67">
        <f t="shared" si="50"/>
        <v>2025</v>
      </c>
      <c r="D654" s="67" t="str">
        <f t="shared" si="51"/>
        <v>04 Apr</v>
      </c>
      <c r="E654" s="67" t="s">
        <v>42</v>
      </c>
      <c r="F654" s="67" t="s">
        <v>66</v>
      </c>
      <c r="G654" s="67" t="s">
        <v>38</v>
      </c>
      <c r="H654" s="67" t="s">
        <v>89</v>
      </c>
      <c r="I654" s="71">
        <v>3</v>
      </c>
      <c r="J654" s="72">
        <v>13860</v>
      </c>
      <c r="K654" s="73">
        <v>0</v>
      </c>
      <c r="L654" s="72">
        <v>9500</v>
      </c>
      <c r="M654" s="68">
        <f t="shared" si="52"/>
        <v>41580</v>
      </c>
      <c r="N654" s="68">
        <f t="shared" si="53"/>
        <v>28500</v>
      </c>
      <c r="O654" s="68">
        <f t="shared" si="54"/>
        <v>13080</v>
      </c>
    </row>
    <row r="655" spans="1:15" x14ac:dyDescent="0.3">
      <c r="A655" s="67" t="s">
        <v>749</v>
      </c>
      <c r="B655" s="70">
        <v>45764</v>
      </c>
      <c r="C655" s="67">
        <f t="shared" si="50"/>
        <v>2025</v>
      </c>
      <c r="D655" s="67" t="str">
        <f t="shared" si="51"/>
        <v>04 Apr</v>
      </c>
      <c r="E655" s="67" t="s">
        <v>45</v>
      </c>
      <c r="F655" s="67" t="s">
        <v>71</v>
      </c>
      <c r="G655" s="67" t="s">
        <v>47</v>
      </c>
      <c r="H655" s="67" t="s">
        <v>87</v>
      </c>
      <c r="I655" s="71">
        <v>48</v>
      </c>
      <c r="J655" s="72">
        <v>310</v>
      </c>
      <c r="K655" s="73">
        <v>0.05</v>
      </c>
      <c r="L655" s="72">
        <v>160</v>
      </c>
      <c r="M655" s="68">
        <f t="shared" si="52"/>
        <v>14136</v>
      </c>
      <c r="N655" s="68">
        <f t="shared" si="53"/>
        <v>7680</v>
      </c>
      <c r="O655" s="68">
        <f t="shared" si="54"/>
        <v>6456</v>
      </c>
    </row>
    <row r="656" spans="1:15" x14ac:dyDescent="0.3">
      <c r="A656" s="67" t="s">
        <v>750</v>
      </c>
      <c r="B656" s="70">
        <v>45764</v>
      </c>
      <c r="C656" s="67">
        <f t="shared" si="50"/>
        <v>2025</v>
      </c>
      <c r="D656" s="67" t="str">
        <f t="shared" si="51"/>
        <v>04 Apr</v>
      </c>
      <c r="E656" s="67" t="s">
        <v>45</v>
      </c>
      <c r="F656" s="67" t="s">
        <v>69</v>
      </c>
      <c r="G656" s="67" t="s">
        <v>50</v>
      </c>
      <c r="H656" s="67" t="s">
        <v>93</v>
      </c>
      <c r="I656" s="71">
        <v>1</v>
      </c>
      <c r="J656" s="72">
        <v>57120</v>
      </c>
      <c r="K656" s="73">
        <v>0</v>
      </c>
      <c r="L656" s="72">
        <v>42000</v>
      </c>
      <c r="M656" s="68">
        <f t="shared" si="52"/>
        <v>57120</v>
      </c>
      <c r="N656" s="68">
        <f t="shared" si="53"/>
        <v>42000</v>
      </c>
      <c r="O656" s="68">
        <f t="shared" si="54"/>
        <v>15120</v>
      </c>
    </row>
    <row r="657" spans="1:15" x14ac:dyDescent="0.3">
      <c r="A657" s="67" t="s">
        <v>751</v>
      </c>
      <c r="B657" s="70">
        <v>45765</v>
      </c>
      <c r="C657" s="67">
        <f t="shared" si="50"/>
        <v>2025</v>
      </c>
      <c r="D657" s="67" t="str">
        <f t="shared" si="51"/>
        <v>04 Apr</v>
      </c>
      <c r="E657" s="67" t="s">
        <v>42</v>
      </c>
      <c r="F657" s="67" t="s">
        <v>70</v>
      </c>
      <c r="G657" s="67" t="s">
        <v>41</v>
      </c>
      <c r="H657" s="67" t="s">
        <v>89</v>
      </c>
      <c r="I657" s="71">
        <v>2</v>
      </c>
      <c r="J657" s="72">
        <v>6350</v>
      </c>
      <c r="K657" s="73">
        <v>0</v>
      </c>
      <c r="L657" s="72">
        <v>4200</v>
      </c>
      <c r="M657" s="68">
        <f t="shared" si="52"/>
        <v>12700</v>
      </c>
      <c r="N657" s="68">
        <f t="shared" si="53"/>
        <v>8400</v>
      </c>
      <c r="O657" s="68">
        <f t="shared" si="54"/>
        <v>4300</v>
      </c>
    </row>
    <row r="658" spans="1:15" x14ac:dyDescent="0.3">
      <c r="A658" s="67" t="s">
        <v>752</v>
      </c>
      <c r="B658" s="70">
        <v>45767</v>
      </c>
      <c r="C658" s="67">
        <f t="shared" si="50"/>
        <v>2025</v>
      </c>
      <c r="D658" s="67" t="str">
        <f t="shared" si="51"/>
        <v>04 Apr</v>
      </c>
      <c r="E658" s="67" t="s">
        <v>45</v>
      </c>
      <c r="F658" s="67" t="s">
        <v>71</v>
      </c>
      <c r="G658" s="67" t="s">
        <v>44</v>
      </c>
      <c r="H658" s="67" t="s">
        <v>87</v>
      </c>
      <c r="I658" s="71">
        <v>10</v>
      </c>
      <c r="J658" s="72">
        <v>730</v>
      </c>
      <c r="K658" s="73">
        <v>0</v>
      </c>
      <c r="L658" s="72">
        <v>380</v>
      </c>
      <c r="M658" s="68">
        <f t="shared" si="52"/>
        <v>7300</v>
      </c>
      <c r="N658" s="68">
        <f t="shared" si="53"/>
        <v>3800</v>
      </c>
      <c r="O658" s="68">
        <f t="shared" si="54"/>
        <v>3500</v>
      </c>
    </row>
    <row r="659" spans="1:15" x14ac:dyDescent="0.3">
      <c r="A659" s="67" t="s">
        <v>753</v>
      </c>
      <c r="B659" s="70">
        <v>45767</v>
      </c>
      <c r="C659" s="67">
        <f t="shared" si="50"/>
        <v>2025</v>
      </c>
      <c r="D659" s="67" t="str">
        <f t="shared" si="51"/>
        <v>04 Apr</v>
      </c>
      <c r="E659" s="67" t="s">
        <v>42</v>
      </c>
      <c r="F659" s="67" t="s">
        <v>71</v>
      </c>
      <c r="G659" s="67" t="s">
        <v>47</v>
      </c>
      <c r="H659" s="67" t="s">
        <v>112</v>
      </c>
      <c r="I659" s="71">
        <v>15</v>
      </c>
      <c r="J659" s="72">
        <v>310</v>
      </c>
      <c r="K659" s="73">
        <v>0</v>
      </c>
      <c r="L659" s="72">
        <v>160</v>
      </c>
      <c r="M659" s="68">
        <f t="shared" si="52"/>
        <v>4650</v>
      </c>
      <c r="N659" s="68">
        <f t="shared" si="53"/>
        <v>2400</v>
      </c>
      <c r="O659" s="68">
        <f t="shared" si="54"/>
        <v>2250</v>
      </c>
    </row>
    <row r="660" spans="1:15" x14ac:dyDescent="0.3">
      <c r="A660" s="67" t="s">
        <v>754</v>
      </c>
      <c r="B660" s="70">
        <v>45768</v>
      </c>
      <c r="C660" s="67">
        <f t="shared" si="50"/>
        <v>2025</v>
      </c>
      <c r="D660" s="67" t="str">
        <f t="shared" si="51"/>
        <v>04 Apr</v>
      </c>
      <c r="E660" s="67" t="s">
        <v>39</v>
      </c>
      <c r="F660" s="67" t="s">
        <v>71</v>
      </c>
      <c r="G660" s="67" t="s">
        <v>47</v>
      </c>
      <c r="H660" s="67" t="s">
        <v>107</v>
      </c>
      <c r="I660" s="71">
        <v>21</v>
      </c>
      <c r="J660" s="72">
        <v>300</v>
      </c>
      <c r="K660" s="73">
        <v>0.05</v>
      </c>
      <c r="L660" s="72">
        <v>160</v>
      </c>
      <c r="M660" s="68">
        <f t="shared" si="52"/>
        <v>5985</v>
      </c>
      <c r="N660" s="68">
        <f t="shared" si="53"/>
        <v>3360</v>
      </c>
      <c r="O660" s="68">
        <f t="shared" si="54"/>
        <v>2625</v>
      </c>
    </row>
    <row r="661" spans="1:15" x14ac:dyDescent="0.3">
      <c r="A661" s="67" t="s">
        <v>755</v>
      </c>
      <c r="B661" s="70">
        <v>45769</v>
      </c>
      <c r="C661" s="67">
        <f t="shared" si="50"/>
        <v>2025</v>
      </c>
      <c r="D661" s="67" t="str">
        <f t="shared" si="51"/>
        <v>04 Apr</v>
      </c>
      <c r="E661" s="67" t="s">
        <v>45</v>
      </c>
      <c r="F661" s="67" t="s">
        <v>66</v>
      </c>
      <c r="G661" s="67" t="s">
        <v>53</v>
      </c>
      <c r="H661" s="67" t="s">
        <v>93</v>
      </c>
      <c r="I661" s="71">
        <v>1</v>
      </c>
      <c r="J661" s="72">
        <v>10820</v>
      </c>
      <c r="K661" s="73">
        <v>0.1</v>
      </c>
      <c r="L661" s="72">
        <v>8000</v>
      </c>
      <c r="M661" s="68">
        <f t="shared" si="52"/>
        <v>9738</v>
      </c>
      <c r="N661" s="68">
        <f t="shared" si="53"/>
        <v>8000</v>
      </c>
      <c r="O661" s="68">
        <f t="shared" si="54"/>
        <v>1738</v>
      </c>
    </row>
    <row r="662" spans="1:15" x14ac:dyDescent="0.3">
      <c r="A662" s="67" t="s">
        <v>756</v>
      </c>
      <c r="B662" s="70">
        <v>45769</v>
      </c>
      <c r="C662" s="67">
        <f t="shared" si="50"/>
        <v>2025</v>
      </c>
      <c r="D662" s="67" t="str">
        <f t="shared" si="51"/>
        <v>04 Apr</v>
      </c>
      <c r="E662" s="67" t="s">
        <v>42</v>
      </c>
      <c r="F662" s="67" t="s">
        <v>66</v>
      </c>
      <c r="G662" s="67" t="s">
        <v>65</v>
      </c>
      <c r="H662" s="67" t="s">
        <v>112</v>
      </c>
      <c r="I662" s="71">
        <v>1</v>
      </c>
      <c r="J662" s="72">
        <v>12870</v>
      </c>
      <c r="K662" s="73">
        <v>0</v>
      </c>
      <c r="L662" s="72">
        <v>9000</v>
      </c>
      <c r="M662" s="68">
        <f t="shared" si="52"/>
        <v>12870</v>
      </c>
      <c r="N662" s="68">
        <f t="shared" si="53"/>
        <v>9000</v>
      </c>
      <c r="O662" s="68">
        <f t="shared" si="54"/>
        <v>3870</v>
      </c>
    </row>
    <row r="663" spans="1:15" x14ac:dyDescent="0.3">
      <c r="A663" s="67" t="s">
        <v>757</v>
      </c>
      <c r="B663" s="70">
        <v>45771</v>
      </c>
      <c r="C663" s="67">
        <f t="shared" si="50"/>
        <v>2025</v>
      </c>
      <c r="D663" s="67" t="str">
        <f t="shared" si="51"/>
        <v>04 Apr</v>
      </c>
      <c r="E663" s="67" t="s">
        <v>48</v>
      </c>
      <c r="F663" s="67" t="s">
        <v>70</v>
      </c>
      <c r="G663" s="67" t="s">
        <v>62</v>
      </c>
      <c r="H663" s="67" t="s">
        <v>95</v>
      </c>
      <c r="I663" s="71">
        <v>1</v>
      </c>
      <c r="J663" s="72">
        <v>18900</v>
      </c>
      <c r="K663" s="73">
        <v>0.1</v>
      </c>
      <c r="L663" s="72">
        <v>12500</v>
      </c>
      <c r="M663" s="68">
        <f t="shared" si="52"/>
        <v>17010</v>
      </c>
      <c r="N663" s="68">
        <f t="shared" si="53"/>
        <v>12500</v>
      </c>
      <c r="O663" s="68">
        <f t="shared" si="54"/>
        <v>4510</v>
      </c>
    </row>
    <row r="664" spans="1:15" x14ac:dyDescent="0.3">
      <c r="A664" s="67" t="s">
        <v>758</v>
      </c>
      <c r="B664" s="70">
        <v>45773</v>
      </c>
      <c r="C664" s="67">
        <f t="shared" si="50"/>
        <v>2025</v>
      </c>
      <c r="D664" s="67" t="str">
        <f t="shared" si="51"/>
        <v>04 Apr</v>
      </c>
      <c r="E664" s="67" t="s">
        <v>42</v>
      </c>
      <c r="F664" s="67" t="s">
        <v>70</v>
      </c>
      <c r="G664" s="67" t="s">
        <v>58</v>
      </c>
      <c r="H664" s="67" t="s">
        <v>89</v>
      </c>
      <c r="I664" s="71">
        <v>2</v>
      </c>
      <c r="J664" s="72">
        <v>9260</v>
      </c>
      <c r="K664" s="73">
        <v>0.05</v>
      </c>
      <c r="L664" s="72">
        <v>6000</v>
      </c>
      <c r="M664" s="68">
        <f t="shared" si="52"/>
        <v>17594</v>
      </c>
      <c r="N664" s="68">
        <f t="shared" si="53"/>
        <v>12000</v>
      </c>
      <c r="O664" s="68">
        <f t="shared" si="54"/>
        <v>5594</v>
      </c>
    </row>
    <row r="665" spans="1:15" x14ac:dyDescent="0.3">
      <c r="A665" s="67" t="s">
        <v>759</v>
      </c>
      <c r="B665" s="70">
        <v>45773</v>
      </c>
      <c r="C665" s="67">
        <f t="shared" si="50"/>
        <v>2025</v>
      </c>
      <c r="D665" s="67" t="str">
        <f t="shared" si="51"/>
        <v>04 Apr</v>
      </c>
      <c r="E665" s="67" t="s">
        <v>48</v>
      </c>
      <c r="F665" s="67" t="s">
        <v>69</v>
      </c>
      <c r="G665" s="67" t="s">
        <v>68</v>
      </c>
      <c r="H665" s="67" t="s">
        <v>95</v>
      </c>
      <c r="I665" s="71">
        <v>2</v>
      </c>
      <c r="J665" s="72">
        <v>3640</v>
      </c>
      <c r="K665" s="73">
        <v>0</v>
      </c>
      <c r="L665" s="72">
        <v>2000</v>
      </c>
      <c r="M665" s="68">
        <f t="shared" si="52"/>
        <v>7280</v>
      </c>
      <c r="N665" s="68">
        <f t="shared" si="53"/>
        <v>4000</v>
      </c>
      <c r="O665" s="68">
        <f t="shared" si="54"/>
        <v>3280</v>
      </c>
    </row>
    <row r="666" spans="1:15" x14ac:dyDescent="0.3">
      <c r="A666" s="67" t="s">
        <v>760</v>
      </c>
      <c r="B666" s="70">
        <v>45774</v>
      </c>
      <c r="C666" s="67">
        <f t="shared" si="50"/>
        <v>2025</v>
      </c>
      <c r="D666" s="67" t="str">
        <f t="shared" si="51"/>
        <v>04 Apr</v>
      </c>
      <c r="E666" s="67" t="s">
        <v>42</v>
      </c>
      <c r="F666" s="67" t="s">
        <v>71</v>
      </c>
      <c r="G666" s="67" t="s">
        <v>44</v>
      </c>
      <c r="H666" s="67" t="s">
        <v>112</v>
      </c>
      <c r="I666" s="71">
        <v>8</v>
      </c>
      <c r="J666" s="72">
        <v>710</v>
      </c>
      <c r="K666" s="73">
        <v>0.15</v>
      </c>
      <c r="L666" s="72">
        <v>380</v>
      </c>
      <c r="M666" s="68">
        <f t="shared" si="52"/>
        <v>4828</v>
      </c>
      <c r="N666" s="68">
        <f t="shared" si="53"/>
        <v>3040</v>
      </c>
      <c r="O666" s="68">
        <f t="shared" si="54"/>
        <v>1788</v>
      </c>
    </row>
    <row r="667" spans="1:15" x14ac:dyDescent="0.3">
      <c r="A667" s="67" t="s">
        <v>761</v>
      </c>
      <c r="B667" s="70">
        <v>45775</v>
      </c>
      <c r="C667" s="67">
        <f t="shared" si="50"/>
        <v>2025</v>
      </c>
      <c r="D667" s="67" t="str">
        <f t="shared" si="51"/>
        <v>04 Apr</v>
      </c>
      <c r="E667" s="67" t="s">
        <v>45</v>
      </c>
      <c r="F667" s="67" t="s">
        <v>70</v>
      </c>
      <c r="G667" s="67" t="s">
        <v>58</v>
      </c>
      <c r="H667" s="67" t="s">
        <v>87</v>
      </c>
      <c r="I667" s="71">
        <v>1</v>
      </c>
      <c r="J667" s="72">
        <v>9020</v>
      </c>
      <c r="K667" s="73">
        <v>0.05</v>
      </c>
      <c r="L667" s="72">
        <v>6000</v>
      </c>
      <c r="M667" s="68">
        <f t="shared" si="52"/>
        <v>8569</v>
      </c>
      <c r="N667" s="68">
        <f t="shared" si="53"/>
        <v>6000</v>
      </c>
      <c r="O667" s="68">
        <f t="shared" si="54"/>
        <v>2569</v>
      </c>
    </row>
    <row r="668" spans="1:15" x14ac:dyDescent="0.3">
      <c r="A668" s="67" t="s">
        <v>762</v>
      </c>
      <c r="B668" s="70">
        <v>45778</v>
      </c>
      <c r="C668" s="67">
        <f t="shared" si="50"/>
        <v>2025</v>
      </c>
      <c r="D668" s="67" t="str">
        <f t="shared" si="51"/>
        <v>05 May</v>
      </c>
      <c r="E668" s="67" t="s">
        <v>45</v>
      </c>
      <c r="F668" s="67" t="s">
        <v>66</v>
      </c>
      <c r="G668" s="67" t="s">
        <v>65</v>
      </c>
      <c r="H668" s="67" t="s">
        <v>87</v>
      </c>
      <c r="I668" s="71">
        <v>2</v>
      </c>
      <c r="J668" s="72">
        <v>13500</v>
      </c>
      <c r="K668" s="73">
        <v>0.05</v>
      </c>
      <c r="L668" s="72">
        <v>9000</v>
      </c>
      <c r="M668" s="68">
        <f t="shared" si="52"/>
        <v>25650</v>
      </c>
      <c r="N668" s="68">
        <f t="shared" si="53"/>
        <v>18000</v>
      </c>
      <c r="O668" s="68">
        <f t="shared" si="54"/>
        <v>7650</v>
      </c>
    </row>
    <row r="669" spans="1:15" x14ac:dyDescent="0.3">
      <c r="A669" s="67" t="s">
        <v>763</v>
      </c>
      <c r="B669" s="70">
        <v>45780</v>
      </c>
      <c r="C669" s="67">
        <f t="shared" si="50"/>
        <v>2025</v>
      </c>
      <c r="D669" s="67" t="str">
        <f t="shared" si="51"/>
        <v>05 May</v>
      </c>
      <c r="E669" s="67" t="s">
        <v>42</v>
      </c>
      <c r="F669" s="67" t="s">
        <v>69</v>
      </c>
      <c r="G669" s="67" t="s">
        <v>50</v>
      </c>
      <c r="H669" s="67" t="s">
        <v>112</v>
      </c>
      <c r="I669" s="71">
        <v>2</v>
      </c>
      <c r="J669" s="72">
        <v>52620</v>
      </c>
      <c r="K669" s="73">
        <v>0.15</v>
      </c>
      <c r="L669" s="72">
        <v>42000</v>
      </c>
      <c r="M669" s="68">
        <f t="shared" si="52"/>
        <v>89454</v>
      </c>
      <c r="N669" s="68">
        <f t="shared" si="53"/>
        <v>84000</v>
      </c>
      <c r="O669" s="68">
        <f t="shared" si="54"/>
        <v>5454</v>
      </c>
    </row>
    <row r="670" spans="1:15" x14ac:dyDescent="0.3">
      <c r="A670" s="67" t="s">
        <v>764</v>
      </c>
      <c r="B670" s="70">
        <v>45780</v>
      </c>
      <c r="C670" s="67">
        <f t="shared" si="50"/>
        <v>2025</v>
      </c>
      <c r="D670" s="67" t="str">
        <f t="shared" si="51"/>
        <v>05 May</v>
      </c>
      <c r="E670" s="67" t="s">
        <v>48</v>
      </c>
      <c r="F670" s="67" t="s">
        <v>71</v>
      </c>
      <c r="G670" s="67" t="s">
        <v>47</v>
      </c>
      <c r="H670" s="67" t="s">
        <v>95</v>
      </c>
      <c r="I670" s="71">
        <v>38</v>
      </c>
      <c r="J670" s="72">
        <v>290</v>
      </c>
      <c r="K670" s="73">
        <v>0.05</v>
      </c>
      <c r="L670" s="72">
        <v>160</v>
      </c>
      <c r="M670" s="68">
        <f t="shared" si="52"/>
        <v>10469</v>
      </c>
      <c r="N670" s="68">
        <f t="shared" si="53"/>
        <v>6080</v>
      </c>
      <c r="O670" s="68">
        <f t="shared" si="54"/>
        <v>4389</v>
      </c>
    </row>
    <row r="671" spans="1:15" x14ac:dyDescent="0.3">
      <c r="A671" s="67" t="s">
        <v>765</v>
      </c>
      <c r="B671" s="70">
        <v>45781</v>
      </c>
      <c r="C671" s="67">
        <f t="shared" si="50"/>
        <v>2025</v>
      </c>
      <c r="D671" s="67" t="str">
        <f t="shared" si="51"/>
        <v>05 May</v>
      </c>
      <c r="E671" s="67" t="s">
        <v>45</v>
      </c>
      <c r="F671" s="67" t="s">
        <v>70</v>
      </c>
      <c r="G671" s="67" t="s">
        <v>41</v>
      </c>
      <c r="H671" s="67" t="s">
        <v>93</v>
      </c>
      <c r="I671" s="71">
        <v>3</v>
      </c>
      <c r="J671" s="72">
        <v>6200</v>
      </c>
      <c r="K671" s="73">
        <v>0.05</v>
      </c>
      <c r="L671" s="72">
        <v>4200</v>
      </c>
      <c r="M671" s="68">
        <f t="shared" si="52"/>
        <v>17670</v>
      </c>
      <c r="N671" s="68">
        <f t="shared" si="53"/>
        <v>12600</v>
      </c>
      <c r="O671" s="68">
        <f t="shared" si="54"/>
        <v>5070</v>
      </c>
    </row>
    <row r="672" spans="1:15" x14ac:dyDescent="0.3">
      <c r="A672" s="67" t="s">
        <v>766</v>
      </c>
      <c r="B672" s="70">
        <v>45782</v>
      </c>
      <c r="C672" s="67">
        <f t="shared" si="50"/>
        <v>2025</v>
      </c>
      <c r="D672" s="67" t="str">
        <f t="shared" si="51"/>
        <v>05 May</v>
      </c>
      <c r="E672" s="67" t="s">
        <v>42</v>
      </c>
      <c r="F672" s="67" t="s">
        <v>71</v>
      </c>
      <c r="G672" s="67" t="s">
        <v>44</v>
      </c>
      <c r="H672" s="67" t="s">
        <v>112</v>
      </c>
      <c r="I672" s="71">
        <v>13</v>
      </c>
      <c r="J672" s="72">
        <v>710</v>
      </c>
      <c r="K672" s="73">
        <v>0.05</v>
      </c>
      <c r="L672" s="72">
        <v>380</v>
      </c>
      <c r="M672" s="68">
        <f t="shared" si="52"/>
        <v>8768.5</v>
      </c>
      <c r="N672" s="68">
        <f t="shared" si="53"/>
        <v>4940</v>
      </c>
      <c r="O672" s="68">
        <f t="shared" si="54"/>
        <v>3828.5</v>
      </c>
    </row>
    <row r="673" spans="1:15" x14ac:dyDescent="0.3">
      <c r="A673" s="67" t="s">
        <v>767</v>
      </c>
      <c r="B673" s="70">
        <v>45783</v>
      </c>
      <c r="C673" s="67">
        <f t="shared" si="50"/>
        <v>2025</v>
      </c>
      <c r="D673" s="67" t="str">
        <f t="shared" si="51"/>
        <v>05 May</v>
      </c>
      <c r="E673" s="67" t="s">
        <v>39</v>
      </c>
      <c r="F673" s="67" t="s">
        <v>70</v>
      </c>
      <c r="G673" s="67" t="s">
        <v>58</v>
      </c>
      <c r="H673" s="67" t="s">
        <v>107</v>
      </c>
      <c r="I673" s="71">
        <v>1</v>
      </c>
      <c r="J673" s="72">
        <v>8670</v>
      </c>
      <c r="K673" s="73">
        <v>0.15</v>
      </c>
      <c r="L673" s="72">
        <v>6000</v>
      </c>
      <c r="M673" s="68">
        <f t="shared" si="52"/>
        <v>7369.5</v>
      </c>
      <c r="N673" s="68">
        <f t="shared" si="53"/>
        <v>6000</v>
      </c>
      <c r="O673" s="68">
        <f t="shared" si="54"/>
        <v>1369.5</v>
      </c>
    </row>
    <row r="674" spans="1:15" x14ac:dyDescent="0.3">
      <c r="A674" s="67" t="s">
        <v>768</v>
      </c>
      <c r="B674" s="70">
        <v>45789</v>
      </c>
      <c r="C674" s="67">
        <f t="shared" si="50"/>
        <v>2025</v>
      </c>
      <c r="D674" s="67" t="str">
        <f t="shared" si="51"/>
        <v>05 May</v>
      </c>
      <c r="E674" s="67" t="s">
        <v>42</v>
      </c>
      <c r="F674" s="67" t="s">
        <v>70</v>
      </c>
      <c r="G674" s="67" t="s">
        <v>41</v>
      </c>
      <c r="H674" s="67" t="s">
        <v>89</v>
      </c>
      <c r="I674" s="71">
        <v>2</v>
      </c>
      <c r="J674" s="72">
        <v>6810</v>
      </c>
      <c r="K674" s="73">
        <v>0.05</v>
      </c>
      <c r="L674" s="72">
        <v>4200</v>
      </c>
      <c r="M674" s="68">
        <f t="shared" si="52"/>
        <v>12939</v>
      </c>
      <c r="N674" s="68">
        <f t="shared" si="53"/>
        <v>8400</v>
      </c>
      <c r="O674" s="68">
        <f t="shared" si="54"/>
        <v>4539</v>
      </c>
    </row>
    <row r="675" spans="1:15" x14ac:dyDescent="0.3">
      <c r="A675" s="67" t="s">
        <v>769</v>
      </c>
      <c r="B675" s="70">
        <v>45789</v>
      </c>
      <c r="C675" s="67">
        <f t="shared" si="50"/>
        <v>2025</v>
      </c>
      <c r="D675" s="67" t="str">
        <f t="shared" si="51"/>
        <v>05 May</v>
      </c>
      <c r="E675" s="67" t="s">
        <v>42</v>
      </c>
      <c r="F675" s="67" t="s">
        <v>71</v>
      </c>
      <c r="G675" s="67" t="s">
        <v>44</v>
      </c>
      <c r="H675" s="67" t="s">
        <v>112</v>
      </c>
      <c r="I675" s="71">
        <v>11</v>
      </c>
      <c r="J675" s="72">
        <v>690</v>
      </c>
      <c r="K675" s="73">
        <v>0.05</v>
      </c>
      <c r="L675" s="72">
        <v>380</v>
      </c>
      <c r="M675" s="68">
        <f t="shared" si="52"/>
        <v>7210.5</v>
      </c>
      <c r="N675" s="68">
        <f t="shared" si="53"/>
        <v>4180</v>
      </c>
      <c r="O675" s="68">
        <f t="shared" si="54"/>
        <v>3030.5</v>
      </c>
    </row>
    <row r="676" spans="1:15" x14ac:dyDescent="0.3">
      <c r="A676" s="67" t="s">
        <v>770</v>
      </c>
      <c r="B676" s="70">
        <v>45790</v>
      </c>
      <c r="C676" s="67">
        <f t="shared" si="50"/>
        <v>2025</v>
      </c>
      <c r="D676" s="67" t="str">
        <f t="shared" si="51"/>
        <v>05 May</v>
      </c>
      <c r="E676" s="67" t="s">
        <v>39</v>
      </c>
      <c r="F676" s="67" t="s">
        <v>70</v>
      </c>
      <c r="G676" s="67" t="s">
        <v>58</v>
      </c>
      <c r="H676" s="67" t="s">
        <v>107</v>
      </c>
      <c r="I676" s="71">
        <v>5</v>
      </c>
      <c r="J676" s="72">
        <v>9020</v>
      </c>
      <c r="K676" s="73">
        <v>0</v>
      </c>
      <c r="L676" s="72">
        <v>6000</v>
      </c>
      <c r="M676" s="68">
        <f t="shared" si="52"/>
        <v>45100</v>
      </c>
      <c r="N676" s="68">
        <f t="shared" si="53"/>
        <v>30000</v>
      </c>
      <c r="O676" s="68">
        <f t="shared" si="54"/>
        <v>15100</v>
      </c>
    </row>
    <row r="677" spans="1:15" x14ac:dyDescent="0.3">
      <c r="A677" s="67" t="s">
        <v>771</v>
      </c>
      <c r="B677" s="70">
        <v>45791</v>
      </c>
      <c r="C677" s="67">
        <f t="shared" si="50"/>
        <v>2025</v>
      </c>
      <c r="D677" s="67" t="str">
        <f t="shared" si="51"/>
        <v>05 May</v>
      </c>
      <c r="E677" s="67" t="s">
        <v>45</v>
      </c>
      <c r="F677" s="67" t="s">
        <v>69</v>
      </c>
      <c r="G677" s="67" t="s">
        <v>60</v>
      </c>
      <c r="H677" s="67" t="s">
        <v>87</v>
      </c>
      <c r="I677" s="71">
        <v>1</v>
      </c>
      <c r="J677" s="72">
        <v>23140</v>
      </c>
      <c r="K677" s="73">
        <v>0.05</v>
      </c>
      <c r="L677" s="72">
        <v>18000</v>
      </c>
      <c r="M677" s="68">
        <f t="shared" si="52"/>
        <v>21983</v>
      </c>
      <c r="N677" s="68">
        <f t="shared" si="53"/>
        <v>18000</v>
      </c>
      <c r="O677" s="68">
        <f t="shared" si="54"/>
        <v>3983</v>
      </c>
    </row>
    <row r="678" spans="1:15" x14ac:dyDescent="0.3">
      <c r="A678" s="67" t="s">
        <v>772</v>
      </c>
      <c r="B678" s="70">
        <v>45791</v>
      </c>
      <c r="C678" s="67">
        <f t="shared" si="50"/>
        <v>2025</v>
      </c>
      <c r="D678" s="67" t="str">
        <f t="shared" si="51"/>
        <v>05 May</v>
      </c>
      <c r="E678" s="67" t="s">
        <v>45</v>
      </c>
      <c r="F678" s="67" t="s">
        <v>69</v>
      </c>
      <c r="G678" s="67" t="s">
        <v>60</v>
      </c>
      <c r="H678" s="67" t="s">
        <v>93</v>
      </c>
      <c r="I678" s="71">
        <v>1</v>
      </c>
      <c r="J678" s="72">
        <v>23230</v>
      </c>
      <c r="K678" s="73">
        <v>0</v>
      </c>
      <c r="L678" s="72">
        <v>18000</v>
      </c>
      <c r="M678" s="68">
        <f t="shared" si="52"/>
        <v>23230</v>
      </c>
      <c r="N678" s="68">
        <f t="shared" si="53"/>
        <v>18000</v>
      </c>
      <c r="O678" s="68">
        <f t="shared" si="54"/>
        <v>5230</v>
      </c>
    </row>
    <row r="679" spans="1:15" x14ac:dyDescent="0.3">
      <c r="A679" s="67" t="s">
        <v>773</v>
      </c>
      <c r="B679" s="70">
        <v>45791</v>
      </c>
      <c r="C679" s="67">
        <f t="shared" si="50"/>
        <v>2025</v>
      </c>
      <c r="D679" s="67" t="str">
        <f t="shared" si="51"/>
        <v>05 May</v>
      </c>
      <c r="E679" s="67" t="s">
        <v>42</v>
      </c>
      <c r="F679" s="67" t="s">
        <v>69</v>
      </c>
      <c r="G679" s="67" t="s">
        <v>50</v>
      </c>
      <c r="H679" s="67" t="s">
        <v>112</v>
      </c>
      <c r="I679" s="71">
        <v>1</v>
      </c>
      <c r="J679" s="72">
        <v>56990</v>
      </c>
      <c r="K679" s="73">
        <v>0.05</v>
      </c>
      <c r="L679" s="72">
        <v>42000</v>
      </c>
      <c r="M679" s="68">
        <f t="shared" si="52"/>
        <v>54140.5</v>
      </c>
      <c r="N679" s="68">
        <f t="shared" si="53"/>
        <v>42000</v>
      </c>
      <c r="O679" s="68">
        <f t="shared" si="54"/>
        <v>12140.5</v>
      </c>
    </row>
    <row r="680" spans="1:15" x14ac:dyDescent="0.3">
      <c r="A680" s="67" t="s">
        <v>774</v>
      </c>
      <c r="B680" s="70">
        <v>45792</v>
      </c>
      <c r="C680" s="67">
        <f t="shared" si="50"/>
        <v>2025</v>
      </c>
      <c r="D680" s="67" t="str">
        <f t="shared" si="51"/>
        <v>05 May</v>
      </c>
      <c r="E680" s="67" t="s">
        <v>45</v>
      </c>
      <c r="F680" s="67" t="s">
        <v>69</v>
      </c>
      <c r="G680" s="67" t="s">
        <v>68</v>
      </c>
      <c r="H680" s="67" t="s">
        <v>93</v>
      </c>
      <c r="I680" s="71">
        <v>3</v>
      </c>
      <c r="J680" s="72">
        <v>3430</v>
      </c>
      <c r="K680" s="73">
        <v>0</v>
      </c>
      <c r="L680" s="72">
        <v>2000</v>
      </c>
      <c r="M680" s="68">
        <f t="shared" si="52"/>
        <v>10290</v>
      </c>
      <c r="N680" s="68">
        <f t="shared" si="53"/>
        <v>6000</v>
      </c>
      <c r="O680" s="68">
        <f t="shared" si="54"/>
        <v>4290</v>
      </c>
    </row>
    <row r="681" spans="1:15" x14ac:dyDescent="0.3">
      <c r="A681" s="67" t="s">
        <v>775</v>
      </c>
      <c r="B681" s="70">
        <v>45793</v>
      </c>
      <c r="C681" s="67">
        <f t="shared" si="50"/>
        <v>2025</v>
      </c>
      <c r="D681" s="67" t="str">
        <f t="shared" si="51"/>
        <v>05 May</v>
      </c>
      <c r="E681" s="67" t="s">
        <v>48</v>
      </c>
      <c r="F681" s="67" t="s">
        <v>66</v>
      </c>
      <c r="G681" s="67" t="s">
        <v>38</v>
      </c>
      <c r="H681" s="67" t="s">
        <v>95</v>
      </c>
      <c r="I681" s="71">
        <v>1</v>
      </c>
      <c r="J681" s="72">
        <v>13650</v>
      </c>
      <c r="K681" s="73">
        <v>0.15</v>
      </c>
      <c r="L681" s="72">
        <v>9500</v>
      </c>
      <c r="M681" s="68">
        <f t="shared" si="52"/>
        <v>11602.5</v>
      </c>
      <c r="N681" s="68">
        <f t="shared" si="53"/>
        <v>9500</v>
      </c>
      <c r="O681" s="68">
        <f t="shared" si="54"/>
        <v>2102.5</v>
      </c>
    </row>
    <row r="682" spans="1:15" x14ac:dyDescent="0.3">
      <c r="A682" s="67" t="s">
        <v>776</v>
      </c>
      <c r="B682" s="70">
        <v>45794</v>
      </c>
      <c r="C682" s="67">
        <f t="shared" si="50"/>
        <v>2025</v>
      </c>
      <c r="D682" s="67" t="str">
        <f t="shared" si="51"/>
        <v>05 May</v>
      </c>
      <c r="E682" s="67" t="s">
        <v>45</v>
      </c>
      <c r="F682" s="67" t="s">
        <v>70</v>
      </c>
      <c r="G682" s="67" t="s">
        <v>62</v>
      </c>
      <c r="H682" s="67" t="s">
        <v>87</v>
      </c>
      <c r="I682" s="71">
        <v>2</v>
      </c>
      <c r="J682" s="72">
        <v>18800</v>
      </c>
      <c r="K682" s="73">
        <v>0.05</v>
      </c>
      <c r="L682" s="72">
        <v>12500</v>
      </c>
      <c r="M682" s="68">
        <f t="shared" si="52"/>
        <v>35720</v>
      </c>
      <c r="N682" s="68">
        <f t="shared" si="53"/>
        <v>25000</v>
      </c>
      <c r="O682" s="68">
        <f t="shared" si="54"/>
        <v>10720</v>
      </c>
    </row>
    <row r="683" spans="1:15" x14ac:dyDescent="0.3">
      <c r="A683" s="67" t="s">
        <v>777</v>
      </c>
      <c r="B683" s="70">
        <v>45795</v>
      </c>
      <c r="C683" s="67">
        <f t="shared" si="50"/>
        <v>2025</v>
      </c>
      <c r="D683" s="67" t="str">
        <f t="shared" si="51"/>
        <v>05 May</v>
      </c>
      <c r="E683" s="67" t="s">
        <v>48</v>
      </c>
      <c r="F683" s="67" t="s">
        <v>70</v>
      </c>
      <c r="G683" s="67" t="s">
        <v>62</v>
      </c>
      <c r="H683" s="67" t="s">
        <v>98</v>
      </c>
      <c r="I683" s="71">
        <v>2</v>
      </c>
      <c r="J683" s="72">
        <v>17560</v>
      </c>
      <c r="K683" s="73">
        <v>0.05</v>
      </c>
      <c r="L683" s="72">
        <v>12500</v>
      </c>
      <c r="M683" s="68">
        <f t="shared" si="52"/>
        <v>33364</v>
      </c>
      <c r="N683" s="68">
        <f t="shared" si="53"/>
        <v>25000</v>
      </c>
      <c r="O683" s="68">
        <f t="shared" si="54"/>
        <v>8364</v>
      </c>
    </row>
    <row r="684" spans="1:15" x14ac:dyDescent="0.3">
      <c r="A684" s="67" t="s">
        <v>778</v>
      </c>
      <c r="B684" s="70">
        <v>45795</v>
      </c>
      <c r="C684" s="67">
        <f t="shared" si="50"/>
        <v>2025</v>
      </c>
      <c r="D684" s="67" t="str">
        <f t="shared" si="51"/>
        <v>05 May</v>
      </c>
      <c r="E684" s="67" t="s">
        <v>45</v>
      </c>
      <c r="F684" s="67" t="s">
        <v>66</v>
      </c>
      <c r="G684" s="67" t="s">
        <v>53</v>
      </c>
      <c r="H684" s="67" t="s">
        <v>93</v>
      </c>
      <c r="I684" s="71">
        <v>2</v>
      </c>
      <c r="J684" s="72">
        <v>11420</v>
      </c>
      <c r="K684" s="73">
        <v>0</v>
      </c>
      <c r="L684" s="72">
        <v>8000</v>
      </c>
      <c r="M684" s="68">
        <f t="shared" si="52"/>
        <v>22840</v>
      </c>
      <c r="N684" s="68">
        <f t="shared" si="53"/>
        <v>16000</v>
      </c>
      <c r="O684" s="68">
        <f t="shared" si="54"/>
        <v>6840</v>
      </c>
    </row>
    <row r="685" spans="1:15" x14ac:dyDescent="0.3">
      <c r="A685" s="67" t="s">
        <v>779</v>
      </c>
      <c r="B685" s="70">
        <v>45795</v>
      </c>
      <c r="C685" s="67">
        <f t="shared" si="50"/>
        <v>2025</v>
      </c>
      <c r="D685" s="67" t="str">
        <f t="shared" si="51"/>
        <v>05 May</v>
      </c>
      <c r="E685" s="67" t="s">
        <v>48</v>
      </c>
      <c r="F685" s="67" t="s">
        <v>69</v>
      </c>
      <c r="G685" s="67" t="s">
        <v>60</v>
      </c>
      <c r="H685" s="67" t="s">
        <v>98</v>
      </c>
      <c r="I685" s="71">
        <v>1</v>
      </c>
      <c r="J685" s="72">
        <v>24860</v>
      </c>
      <c r="K685" s="73">
        <v>0.1</v>
      </c>
      <c r="L685" s="72">
        <v>18000</v>
      </c>
      <c r="M685" s="68">
        <f t="shared" si="52"/>
        <v>22374</v>
      </c>
      <c r="N685" s="68">
        <f t="shared" si="53"/>
        <v>18000</v>
      </c>
      <c r="O685" s="68">
        <f t="shared" si="54"/>
        <v>4374</v>
      </c>
    </row>
    <row r="686" spans="1:15" x14ac:dyDescent="0.3">
      <c r="A686" s="67" t="s">
        <v>780</v>
      </c>
      <c r="B686" s="70">
        <v>45795</v>
      </c>
      <c r="C686" s="67">
        <f t="shared" si="50"/>
        <v>2025</v>
      </c>
      <c r="D686" s="67" t="str">
        <f t="shared" si="51"/>
        <v>05 May</v>
      </c>
      <c r="E686" s="67" t="s">
        <v>45</v>
      </c>
      <c r="F686" s="67" t="s">
        <v>69</v>
      </c>
      <c r="G686" s="67" t="s">
        <v>60</v>
      </c>
      <c r="H686" s="67" t="s">
        <v>87</v>
      </c>
      <c r="I686" s="71">
        <v>2</v>
      </c>
      <c r="J686" s="72">
        <v>23460</v>
      </c>
      <c r="K686" s="73">
        <v>0.05</v>
      </c>
      <c r="L686" s="72">
        <v>18000</v>
      </c>
      <c r="M686" s="68">
        <f t="shared" si="52"/>
        <v>44574</v>
      </c>
      <c r="N686" s="68">
        <f t="shared" si="53"/>
        <v>36000</v>
      </c>
      <c r="O686" s="68">
        <f t="shared" si="54"/>
        <v>8574</v>
      </c>
    </row>
    <row r="687" spans="1:15" x14ac:dyDescent="0.3">
      <c r="A687" s="67" t="s">
        <v>781</v>
      </c>
      <c r="B687" s="70">
        <v>45796</v>
      </c>
      <c r="C687" s="67">
        <f t="shared" si="50"/>
        <v>2025</v>
      </c>
      <c r="D687" s="67" t="str">
        <f t="shared" si="51"/>
        <v>05 May</v>
      </c>
      <c r="E687" s="67" t="s">
        <v>48</v>
      </c>
      <c r="F687" s="67" t="s">
        <v>71</v>
      </c>
      <c r="G687" s="67" t="s">
        <v>47</v>
      </c>
      <c r="H687" s="67" t="s">
        <v>98</v>
      </c>
      <c r="I687" s="71">
        <v>5</v>
      </c>
      <c r="J687" s="72">
        <v>300</v>
      </c>
      <c r="K687" s="73">
        <v>0</v>
      </c>
      <c r="L687" s="72">
        <v>160</v>
      </c>
      <c r="M687" s="68">
        <f t="shared" si="52"/>
        <v>1500</v>
      </c>
      <c r="N687" s="68">
        <f t="shared" si="53"/>
        <v>800</v>
      </c>
      <c r="O687" s="68">
        <f t="shared" si="54"/>
        <v>700</v>
      </c>
    </row>
    <row r="688" spans="1:15" x14ac:dyDescent="0.3">
      <c r="A688" s="67" t="s">
        <v>782</v>
      </c>
      <c r="B688" s="70">
        <v>45797</v>
      </c>
      <c r="C688" s="67">
        <f t="shared" si="50"/>
        <v>2025</v>
      </c>
      <c r="D688" s="67" t="str">
        <f t="shared" si="51"/>
        <v>05 May</v>
      </c>
      <c r="E688" s="67" t="s">
        <v>48</v>
      </c>
      <c r="F688" s="67" t="s">
        <v>70</v>
      </c>
      <c r="G688" s="67" t="s">
        <v>58</v>
      </c>
      <c r="H688" s="67" t="s">
        <v>95</v>
      </c>
      <c r="I688" s="71">
        <v>1</v>
      </c>
      <c r="J688" s="72">
        <v>8570</v>
      </c>
      <c r="K688" s="73">
        <v>0.15</v>
      </c>
      <c r="L688" s="72">
        <v>6000</v>
      </c>
      <c r="M688" s="68">
        <f t="shared" si="52"/>
        <v>7284.5</v>
      </c>
      <c r="N688" s="68">
        <f t="shared" si="53"/>
        <v>6000</v>
      </c>
      <c r="O688" s="68">
        <f t="shared" si="54"/>
        <v>1284.5</v>
      </c>
    </row>
    <row r="689" spans="1:15" x14ac:dyDescent="0.3">
      <c r="A689" s="67" t="s">
        <v>783</v>
      </c>
      <c r="B689" s="70">
        <v>45799</v>
      </c>
      <c r="C689" s="67">
        <f t="shared" si="50"/>
        <v>2025</v>
      </c>
      <c r="D689" s="67" t="str">
        <f t="shared" si="51"/>
        <v>05 May</v>
      </c>
      <c r="E689" s="67" t="s">
        <v>48</v>
      </c>
      <c r="F689" s="67" t="s">
        <v>69</v>
      </c>
      <c r="G689" s="67" t="s">
        <v>68</v>
      </c>
      <c r="H689" s="67" t="s">
        <v>98</v>
      </c>
      <c r="I689" s="71">
        <v>4</v>
      </c>
      <c r="J689" s="72">
        <v>3530</v>
      </c>
      <c r="K689" s="73">
        <v>0.05</v>
      </c>
      <c r="L689" s="72">
        <v>2000</v>
      </c>
      <c r="M689" s="68">
        <f t="shared" si="52"/>
        <v>13414</v>
      </c>
      <c r="N689" s="68">
        <f t="shared" si="53"/>
        <v>8000</v>
      </c>
      <c r="O689" s="68">
        <f t="shared" si="54"/>
        <v>5414</v>
      </c>
    </row>
    <row r="690" spans="1:15" x14ac:dyDescent="0.3">
      <c r="A690" s="67" t="s">
        <v>784</v>
      </c>
      <c r="B690" s="70">
        <v>45799</v>
      </c>
      <c r="C690" s="67">
        <f t="shared" si="50"/>
        <v>2025</v>
      </c>
      <c r="D690" s="67" t="str">
        <f t="shared" si="51"/>
        <v>05 May</v>
      </c>
      <c r="E690" s="67" t="s">
        <v>36</v>
      </c>
      <c r="F690" s="67" t="s">
        <v>66</v>
      </c>
      <c r="G690" s="67" t="s">
        <v>38</v>
      </c>
      <c r="H690" s="67" t="s">
        <v>114</v>
      </c>
      <c r="I690" s="71">
        <v>2</v>
      </c>
      <c r="J690" s="72">
        <v>13620</v>
      </c>
      <c r="K690" s="73">
        <v>0.15</v>
      </c>
      <c r="L690" s="72">
        <v>9500</v>
      </c>
      <c r="M690" s="68">
        <f t="shared" si="52"/>
        <v>23154</v>
      </c>
      <c r="N690" s="68">
        <f t="shared" si="53"/>
        <v>19000</v>
      </c>
      <c r="O690" s="68">
        <f t="shared" si="54"/>
        <v>4154</v>
      </c>
    </row>
    <row r="691" spans="1:15" x14ac:dyDescent="0.3">
      <c r="A691" s="67" t="s">
        <v>785</v>
      </c>
      <c r="B691" s="70">
        <v>45800</v>
      </c>
      <c r="C691" s="67">
        <f t="shared" si="50"/>
        <v>2025</v>
      </c>
      <c r="D691" s="67" t="str">
        <f t="shared" si="51"/>
        <v>05 May</v>
      </c>
      <c r="E691" s="67" t="s">
        <v>39</v>
      </c>
      <c r="F691" s="67" t="s">
        <v>66</v>
      </c>
      <c r="G691" s="67" t="s">
        <v>38</v>
      </c>
      <c r="H691" s="67" t="s">
        <v>107</v>
      </c>
      <c r="I691" s="71">
        <v>3</v>
      </c>
      <c r="J691" s="72">
        <v>13300</v>
      </c>
      <c r="K691" s="73">
        <v>0</v>
      </c>
      <c r="L691" s="72">
        <v>9500</v>
      </c>
      <c r="M691" s="68">
        <f t="shared" si="52"/>
        <v>39900</v>
      </c>
      <c r="N691" s="68">
        <f t="shared" si="53"/>
        <v>28500</v>
      </c>
      <c r="O691" s="68">
        <f t="shared" si="54"/>
        <v>11400</v>
      </c>
    </row>
    <row r="692" spans="1:15" x14ac:dyDescent="0.3">
      <c r="A692" s="67" t="s">
        <v>786</v>
      </c>
      <c r="B692" s="70">
        <v>45801</v>
      </c>
      <c r="C692" s="67">
        <f t="shared" si="50"/>
        <v>2025</v>
      </c>
      <c r="D692" s="67" t="str">
        <f t="shared" si="51"/>
        <v>05 May</v>
      </c>
      <c r="E692" s="67" t="s">
        <v>45</v>
      </c>
      <c r="F692" s="67" t="s">
        <v>71</v>
      </c>
      <c r="G692" s="67" t="s">
        <v>47</v>
      </c>
      <c r="H692" s="67" t="s">
        <v>93</v>
      </c>
      <c r="I692" s="71">
        <v>33</v>
      </c>
      <c r="J692" s="72">
        <v>290</v>
      </c>
      <c r="K692" s="73">
        <v>0</v>
      </c>
      <c r="L692" s="72">
        <v>160</v>
      </c>
      <c r="M692" s="68">
        <f t="shared" si="52"/>
        <v>9570</v>
      </c>
      <c r="N692" s="68">
        <f t="shared" si="53"/>
        <v>5280</v>
      </c>
      <c r="O692" s="68">
        <f t="shared" si="54"/>
        <v>4290</v>
      </c>
    </row>
    <row r="693" spans="1:15" x14ac:dyDescent="0.3">
      <c r="A693" s="67" t="s">
        <v>787</v>
      </c>
      <c r="B693" s="70">
        <v>45802</v>
      </c>
      <c r="C693" s="67">
        <f t="shared" si="50"/>
        <v>2025</v>
      </c>
      <c r="D693" s="67" t="str">
        <f t="shared" si="51"/>
        <v>05 May</v>
      </c>
      <c r="E693" s="67" t="s">
        <v>39</v>
      </c>
      <c r="F693" s="67" t="s">
        <v>69</v>
      </c>
      <c r="G693" s="67" t="s">
        <v>60</v>
      </c>
      <c r="H693" s="67" t="s">
        <v>107</v>
      </c>
      <c r="I693" s="71">
        <v>3</v>
      </c>
      <c r="J693" s="72">
        <v>23370</v>
      </c>
      <c r="K693" s="73">
        <v>0</v>
      </c>
      <c r="L693" s="72">
        <v>18000</v>
      </c>
      <c r="M693" s="68">
        <f t="shared" si="52"/>
        <v>70110</v>
      </c>
      <c r="N693" s="68">
        <f t="shared" si="53"/>
        <v>54000</v>
      </c>
      <c r="O693" s="68">
        <f t="shared" si="54"/>
        <v>16110</v>
      </c>
    </row>
    <row r="694" spans="1:15" x14ac:dyDescent="0.3">
      <c r="A694" s="67" t="s">
        <v>788</v>
      </c>
      <c r="B694" s="70">
        <v>45802</v>
      </c>
      <c r="C694" s="67">
        <f t="shared" si="50"/>
        <v>2025</v>
      </c>
      <c r="D694" s="67" t="str">
        <f t="shared" si="51"/>
        <v>05 May</v>
      </c>
      <c r="E694" s="67" t="s">
        <v>42</v>
      </c>
      <c r="F694" s="67" t="s">
        <v>66</v>
      </c>
      <c r="G694" s="67" t="s">
        <v>38</v>
      </c>
      <c r="H694" s="67" t="s">
        <v>112</v>
      </c>
      <c r="I694" s="71">
        <v>3</v>
      </c>
      <c r="J694" s="72">
        <v>13630</v>
      </c>
      <c r="K694" s="73">
        <v>0</v>
      </c>
      <c r="L694" s="72">
        <v>9500</v>
      </c>
      <c r="M694" s="68">
        <f t="shared" si="52"/>
        <v>40890</v>
      </c>
      <c r="N694" s="68">
        <f t="shared" si="53"/>
        <v>28500</v>
      </c>
      <c r="O694" s="68">
        <f t="shared" si="54"/>
        <v>12390</v>
      </c>
    </row>
    <row r="695" spans="1:15" x14ac:dyDescent="0.3">
      <c r="A695" s="67" t="s">
        <v>789</v>
      </c>
      <c r="B695" s="70">
        <v>45803</v>
      </c>
      <c r="C695" s="67">
        <f t="shared" si="50"/>
        <v>2025</v>
      </c>
      <c r="D695" s="67" t="str">
        <f t="shared" si="51"/>
        <v>05 May</v>
      </c>
      <c r="E695" s="67" t="s">
        <v>48</v>
      </c>
      <c r="F695" s="67" t="s">
        <v>69</v>
      </c>
      <c r="G695" s="67" t="s">
        <v>68</v>
      </c>
      <c r="H695" s="67" t="s">
        <v>98</v>
      </c>
      <c r="I695" s="71">
        <v>5</v>
      </c>
      <c r="J695" s="72">
        <v>3340</v>
      </c>
      <c r="K695" s="73">
        <v>0</v>
      </c>
      <c r="L695" s="72">
        <v>2000</v>
      </c>
      <c r="M695" s="68">
        <f t="shared" si="52"/>
        <v>16700</v>
      </c>
      <c r="N695" s="68">
        <f t="shared" si="53"/>
        <v>10000</v>
      </c>
      <c r="O695" s="68">
        <f t="shared" si="54"/>
        <v>6700</v>
      </c>
    </row>
    <row r="696" spans="1:15" x14ac:dyDescent="0.3">
      <c r="A696" s="67" t="s">
        <v>790</v>
      </c>
      <c r="B696" s="70">
        <v>45804</v>
      </c>
      <c r="C696" s="67">
        <f t="shared" si="50"/>
        <v>2025</v>
      </c>
      <c r="D696" s="67" t="str">
        <f t="shared" si="51"/>
        <v>05 May</v>
      </c>
      <c r="E696" s="67" t="s">
        <v>45</v>
      </c>
      <c r="F696" s="67" t="s">
        <v>66</v>
      </c>
      <c r="G696" s="67" t="s">
        <v>65</v>
      </c>
      <c r="H696" s="67" t="s">
        <v>87</v>
      </c>
      <c r="I696" s="71">
        <v>3</v>
      </c>
      <c r="J696" s="72">
        <v>14130</v>
      </c>
      <c r="K696" s="73">
        <v>0</v>
      </c>
      <c r="L696" s="72">
        <v>9000</v>
      </c>
      <c r="M696" s="68">
        <f t="shared" si="52"/>
        <v>42390</v>
      </c>
      <c r="N696" s="68">
        <f t="shared" si="53"/>
        <v>27000</v>
      </c>
      <c r="O696" s="68">
        <f t="shared" si="54"/>
        <v>15390</v>
      </c>
    </row>
    <row r="697" spans="1:15" x14ac:dyDescent="0.3">
      <c r="A697" s="67" t="s">
        <v>791</v>
      </c>
      <c r="B697" s="70">
        <v>45805</v>
      </c>
      <c r="C697" s="67">
        <f t="shared" si="50"/>
        <v>2025</v>
      </c>
      <c r="D697" s="67" t="str">
        <f t="shared" si="51"/>
        <v>05 May</v>
      </c>
      <c r="E697" s="67" t="s">
        <v>39</v>
      </c>
      <c r="F697" s="67" t="s">
        <v>69</v>
      </c>
      <c r="G697" s="67" t="s">
        <v>50</v>
      </c>
      <c r="H697" s="67" t="s">
        <v>107</v>
      </c>
      <c r="I697" s="71">
        <v>2</v>
      </c>
      <c r="J697" s="72">
        <v>55560</v>
      </c>
      <c r="K697" s="73">
        <v>0.05</v>
      </c>
      <c r="L697" s="72">
        <v>42000</v>
      </c>
      <c r="M697" s="68">
        <f t="shared" si="52"/>
        <v>105564</v>
      </c>
      <c r="N697" s="68">
        <f t="shared" si="53"/>
        <v>84000</v>
      </c>
      <c r="O697" s="68">
        <f t="shared" si="54"/>
        <v>21564</v>
      </c>
    </row>
    <row r="698" spans="1:15" x14ac:dyDescent="0.3">
      <c r="A698" s="67" t="s">
        <v>792</v>
      </c>
      <c r="B698" s="70">
        <v>45809</v>
      </c>
      <c r="C698" s="67">
        <f t="shared" si="50"/>
        <v>2025</v>
      </c>
      <c r="D698" s="67" t="str">
        <f t="shared" si="51"/>
        <v>06 Jun</v>
      </c>
      <c r="E698" s="67" t="s">
        <v>45</v>
      </c>
      <c r="F698" s="67" t="s">
        <v>71</v>
      </c>
      <c r="G698" s="67" t="s">
        <v>55</v>
      </c>
      <c r="H698" s="67" t="s">
        <v>93</v>
      </c>
      <c r="I698" s="71">
        <v>19</v>
      </c>
      <c r="J698" s="72">
        <v>450</v>
      </c>
      <c r="K698" s="73">
        <v>0</v>
      </c>
      <c r="L698" s="72">
        <v>250</v>
      </c>
      <c r="M698" s="68">
        <f t="shared" si="52"/>
        <v>8550</v>
      </c>
      <c r="N698" s="68">
        <f t="shared" si="53"/>
        <v>4750</v>
      </c>
      <c r="O698" s="68">
        <f t="shared" si="54"/>
        <v>3800</v>
      </c>
    </row>
    <row r="699" spans="1:15" x14ac:dyDescent="0.3">
      <c r="A699" s="67" t="s">
        <v>793</v>
      </c>
      <c r="B699" s="70">
        <v>45810</v>
      </c>
      <c r="C699" s="67">
        <f t="shared" si="50"/>
        <v>2025</v>
      </c>
      <c r="D699" s="67" t="str">
        <f t="shared" si="51"/>
        <v>06 Jun</v>
      </c>
      <c r="E699" s="67" t="s">
        <v>39</v>
      </c>
      <c r="F699" s="67" t="s">
        <v>71</v>
      </c>
      <c r="G699" s="67" t="s">
        <v>47</v>
      </c>
      <c r="H699" s="67" t="s">
        <v>107</v>
      </c>
      <c r="I699" s="71">
        <v>50</v>
      </c>
      <c r="J699" s="72">
        <v>310</v>
      </c>
      <c r="K699" s="73">
        <v>0</v>
      </c>
      <c r="L699" s="72">
        <v>160</v>
      </c>
      <c r="M699" s="68">
        <f t="shared" si="52"/>
        <v>15500</v>
      </c>
      <c r="N699" s="68">
        <f t="shared" si="53"/>
        <v>8000</v>
      </c>
      <c r="O699" s="68">
        <f t="shared" si="54"/>
        <v>7500</v>
      </c>
    </row>
    <row r="700" spans="1:15" x14ac:dyDescent="0.3">
      <c r="A700" s="67" t="s">
        <v>794</v>
      </c>
      <c r="B700" s="70">
        <v>45812</v>
      </c>
      <c r="C700" s="67">
        <f t="shared" si="50"/>
        <v>2025</v>
      </c>
      <c r="D700" s="67" t="str">
        <f t="shared" si="51"/>
        <v>06 Jun</v>
      </c>
      <c r="E700" s="67" t="s">
        <v>36</v>
      </c>
      <c r="F700" s="67" t="s">
        <v>69</v>
      </c>
      <c r="G700" s="67" t="s">
        <v>68</v>
      </c>
      <c r="H700" s="67" t="s">
        <v>91</v>
      </c>
      <c r="I700" s="71">
        <v>3</v>
      </c>
      <c r="J700" s="72">
        <v>3460</v>
      </c>
      <c r="K700" s="73">
        <v>0.05</v>
      </c>
      <c r="L700" s="72">
        <v>2000</v>
      </c>
      <c r="M700" s="68">
        <f t="shared" si="52"/>
        <v>9861</v>
      </c>
      <c r="N700" s="68">
        <f t="shared" si="53"/>
        <v>6000</v>
      </c>
      <c r="O700" s="68">
        <f t="shared" si="54"/>
        <v>3861</v>
      </c>
    </row>
    <row r="701" spans="1:15" x14ac:dyDescent="0.3">
      <c r="A701" s="67" t="s">
        <v>795</v>
      </c>
      <c r="B701" s="70">
        <v>45813</v>
      </c>
      <c r="C701" s="67">
        <f t="shared" si="50"/>
        <v>2025</v>
      </c>
      <c r="D701" s="67" t="str">
        <f t="shared" si="51"/>
        <v>06 Jun</v>
      </c>
      <c r="E701" s="67" t="s">
        <v>42</v>
      </c>
      <c r="F701" s="67" t="s">
        <v>71</v>
      </c>
      <c r="G701" s="67" t="s">
        <v>55</v>
      </c>
      <c r="H701" s="67" t="s">
        <v>89</v>
      </c>
      <c r="I701" s="71">
        <v>35</v>
      </c>
      <c r="J701" s="72">
        <v>450</v>
      </c>
      <c r="K701" s="73">
        <v>0</v>
      </c>
      <c r="L701" s="72">
        <v>250</v>
      </c>
      <c r="M701" s="68">
        <f t="shared" si="52"/>
        <v>15750</v>
      </c>
      <c r="N701" s="68">
        <f t="shared" si="53"/>
        <v>8750</v>
      </c>
      <c r="O701" s="68">
        <f t="shared" si="54"/>
        <v>7000</v>
      </c>
    </row>
    <row r="702" spans="1:15" x14ac:dyDescent="0.3">
      <c r="A702" s="67" t="s">
        <v>796</v>
      </c>
      <c r="B702" s="70">
        <v>45814</v>
      </c>
      <c r="C702" s="67">
        <f t="shared" si="50"/>
        <v>2025</v>
      </c>
      <c r="D702" s="67" t="str">
        <f t="shared" si="51"/>
        <v>06 Jun</v>
      </c>
      <c r="E702" s="67" t="s">
        <v>42</v>
      </c>
      <c r="F702" s="67" t="s">
        <v>69</v>
      </c>
      <c r="G702" s="67" t="s">
        <v>60</v>
      </c>
      <c r="H702" s="67" t="s">
        <v>89</v>
      </c>
      <c r="I702" s="71">
        <v>3</v>
      </c>
      <c r="J702" s="72">
        <v>23760</v>
      </c>
      <c r="K702" s="73">
        <v>0</v>
      </c>
      <c r="L702" s="72">
        <v>18000</v>
      </c>
      <c r="M702" s="68">
        <f t="shared" si="52"/>
        <v>71280</v>
      </c>
      <c r="N702" s="68">
        <f t="shared" si="53"/>
        <v>54000</v>
      </c>
      <c r="O702" s="68">
        <f t="shared" si="54"/>
        <v>17280</v>
      </c>
    </row>
    <row r="703" spans="1:15" x14ac:dyDescent="0.3">
      <c r="A703" s="67" t="s">
        <v>797</v>
      </c>
      <c r="B703" s="70">
        <v>45815</v>
      </c>
      <c r="C703" s="67">
        <f t="shared" si="50"/>
        <v>2025</v>
      </c>
      <c r="D703" s="67" t="str">
        <f t="shared" si="51"/>
        <v>06 Jun</v>
      </c>
      <c r="E703" s="67" t="s">
        <v>45</v>
      </c>
      <c r="F703" s="67" t="s">
        <v>71</v>
      </c>
      <c r="G703" s="67" t="s">
        <v>47</v>
      </c>
      <c r="H703" s="67" t="s">
        <v>87</v>
      </c>
      <c r="I703" s="71">
        <v>38</v>
      </c>
      <c r="J703" s="72">
        <v>310</v>
      </c>
      <c r="K703" s="73">
        <v>0</v>
      </c>
      <c r="L703" s="72">
        <v>160</v>
      </c>
      <c r="M703" s="68">
        <f t="shared" si="52"/>
        <v>11780</v>
      </c>
      <c r="N703" s="68">
        <f t="shared" si="53"/>
        <v>6080</v>
      </c>
      <c r="O703" s="68">
        <f t="shared" si="54"/>
        <v>5700</v>
      </c>
    </row>
    <row r="704" spans="1:15" x14ac:dyDescent="0.3">
      <c r="A704" s="67" t="s">
        <v>798</v>
      </c>
      <c r="B704" s="70">
        <v>45816</v>
      </c>
      <c r="C704" s="67">
        <f t="shared" si="50"/>
        <v>2025</v>
      </c>
      <c r="D704" s="67" t="str">
        <f t="shared" si="51"/>
        <v>06 Jun</v>
      </c>
      <c r="E704" s="67" t="s">
        <v>39</v>
      </c>
      <c r="F704" s="67" t="s">
        <v>69</v>
      </c>
      <c r="G704" s="67" t="s">
        <v>50</v>
      </c>
      <c r="H704" s="67" t="s">
        <v>100</v>
      </c>
      <c r="I704" s="71">
        <v>1</v>
      </c>
      <c r="J704" s="72">
        <v>56690</v>
      </c>
      <c r="K704" s="73">
        <v>0</v>
      </c>
      <c r="L704" s="72">
        <v>42000</v>
      </c>
      <c r="M704" s="68">
        <f t="shared" si="52"/>
        <v>56690</v>
      </c>
      <c r="N704" s="68">
        <f t="shared" si="53"/>
        <v>42000</v>
      </c>
      <c r="O704" s="68">
        <f t="shared" si="54"/>
        <v>14690</v>
      </c>
    </row>
    <row r="705" spans="1:15" x14ac:dyDescent="0.3">
      <c r="A705" s="67" t="s">
        <v>799</v>
      </c>
      <c r="B705" s="70">
        <v>45817</v>
      </c>
      <c r="C705" s="67">
        <f t="shared" si="50"/>
        <v>2025</v>
      </c>
      <c r="D705" s="67" t="str">
        <f t="shared" si="51"/>
        <v>06 Jun</v>
      </c>
      <c r="E705" s="67" t="s">
        <v>45</v>
      </c>
      <c r="F705" s="67" t="s">
        <v>69</v>
      </c>
      <c r="G705" s="67" t="s">
        <v>50</v>
      </c>
      <c r="H705" s="67" t="s">
        <v>93</v>
      </c>
      <c r="I705" s="71">
        <v>2</v>
      </c>
      <c r="J705" s="72">
        <v>54160</v>
      </c>
      <c r="K705" s="73">
        <v>0.1</v>
      </c>
      <c r="L705" s="72">
        <v>42000</v>
      </c>
      <c r="M705" s="68">
        <f t="shared" si="52"/>
        <v>97488</v>
      </c>
      <c r="N705" s="68">
        <f t="shared" si="53"/>
        <v>84000</v>
      </c>
      <c r="O705" s="68">
        <f t="shared" si="54"/>
        <v>13488</v>
      </c>
    </row>
    <row r="706" spans="1:15" x14ac:dyDescent="0.3">
      <c r="A706" s="67" t="s">
        <v>800</v>
      </c>
      <c r="B706" s="70">
        <v>45818</v>
      </c>
      <c r="C706" s="67">
        <f t="shared" ref="C706:C769" si="55">YEAR(B706)</f>
        <v>2025</v>
      </c>
      <c r="D706" s="67" t="str">
        <f t="shared" ref="D706:D769" si="56">CHOOSE(MONTH(B706),"01 Jan","02 Feb","03 Mar","04 Apr","05 May","06 Jun","07 Jul","08 Aug","09 Sep","10 Oct","11 Nov","12 Dec")</f>
        <v>06 Jun</v>
      </c>
      <c r="E706" s="67" t="s">
        <v>39</v>
      </c>
      <c r="F706" s="67" t="s">
        <v>69</v>
      </c>
      <c r="G706" s="67" t="s">
        <v>60</v>
      </c>
      <c r="H706" s="67" t="s">
        <v>107</v>
      </c>
      <c r="I706" s="71">
        <v>3</v>
      </c>
      <c r="J706" s="72">
        <v>24600</v>
      </c>
      <c r="K706" s="73">
        <v>0.05</v>
      </c>
      <c r="L706" s="72">
        <v>18000</v>
      </c>
      <c r="M706" s="68">
        <f t="shared" ref="M706:M769" si="57">I706*J706*(1-K706)</f>
        <v>70110</v>
      </c>
      <c r="N706" s="68">
        <f t="shared" ref="N706:N769" si="58">I706*L706</f>
        <v>54000</v>
      </c>
      <c r="O706" s="68">
        <f t="shared" ref="O706:O769" si="59">M706-N706</f>
        <v>16110</v>
      </c>
    </row>
    <row r="707" spans="1:15" x14ac:dyDescent="0.3">
      <c r="A707" s="67" t="s">
        <v>801</v>
      </c>
      <c r="B707" s="70">
        <v>45819</v>
      </c>
      <c r="C707" s="67">
        <f t="shared" si="55"/>
        <v>2025</v>
      </c>
      <c r="D707" s="67" t="str">
        <f t="shared" si="56"/>
        <v>06 Jun</v>
      </c>
      <c r="E707" s="67" t="s">
        <v>45</v>
      </c>
      <c r="F707" s="67" t="s">
        <v>70</v>
      </c>
      <c r="G707" s="67" t="s">
        <v>62</v>
      </c>
      <c r="H707" s="67" t="s">
        <v>93</v>
      </c>
      <c r="I707" s="71">
        <v>3</v>
      </c>
      <c r="J707" s="72">
        <v>18690</v>
      </c>
      <c r="K707" s="73">
        <v>0</v>
      </c>
      <c r="L707" s="72">
        <v>12500</v>
      </c>
      <c r="M707" s="68">
        <f t="shared" si="57"/>
        <v>56070</v>
      </c>
      <c r="N707" s="68">
        <f t="shared" si="58"/>
        <v>37500</v>
      </c>
      <c r="O707" s="68">
        <f t="shared" si="59"/>
        <v>18570</v>
      </c>
    </row>
    <row r="708" spans="1:15" x14ac:dyDescent="0.3">
      <c r="A708" s="67" t="s">
        <v>802</v>
      </c>
      <c r="B708" s="70">
        <v>45820</v>
      </c>
      <c r="C708" s="67">
        <f t="shared" si="55"/>
        <v>2025</v>
      </c>
      <c r="D708" s="67" t="str">
        <f t="shared" si="56"/>
        <v>06 Jun</v>
      </c>
      <c r="E708" s="67" t="s">
        <v>48</v>
      </c>
      <c r="F708" s="67" t="s">
        <v>71</v>
      </c>
      <c r="G708" s="67" t="s">
        <v>47</v>
      </c>
      <c r="H708" s="67" t="s">
        <v>95</v>
      </c>
      <c r="I708" s="71">
        <v>21</v>
      </c>
      <c r="J708" s="72">
        <v>300</v>
      </c>
      <c r="K708" s="73">
        <v>0</v>
      </c>
      <c r="L708" s="72">
        <v>160</v>
      </c>
      <c r="M708" s="68">
        <f t="shared" si="57"/>
        <v>6300</v>
      </c>
      <c r="N708" s="68">
        <f t="shared" si="58"/>
        <v>3360</v>
      </c>
      <c r="O708" s="68">
        <f t="shared" si="59"/>
        <v>2940</v>
      </c>
    </row>
    <row r="709" spans="1:15" x14ac:dyDescent="0.3">
      <c r="A709" s="67" t="s">
        <v>803</v>
      </c>
      <c r="B709" s="70">
        <v>45822</v>
      </c>
      <c r="C709" s="67">
        <f t="shared" si="55"/>
        <v>2025</v>
      </c>
      <c r="D709" s="67" t="str">
        <f t="shared" si="56"/>
        <v>06 Jun</v>
      </c>
      <c r="E709" s="67" t="s">
        <v>36</v>
      </c>
      <c r="F709" s="67" t="s">
        <v>71</v>
      </c>
      <c r="G709" s="67" t="s">
        <v>44</v>
      </c>
      <c r="H709" s="67" t="s">
        <v>91</v>
      </c>
      <c r="I709" s="71">
        <v>9</v>
      </c>
      <c r="J709" s="72">
        <v>690</v>
      </c>
      <c r="K709" s="73">
        <v>0.05</v>
      </c>
      <c r="L709" s="72">
        <v>380</v>
      </c>
      <c r="M709" s="68">
        <f t="shared" si="57"/>
        <v>5899.5</v>
      </c>
      <c r="N709" s="68">
        <f t="shared" si="58"/>
        <v>3420</v>
      </c>
      <c r="O709" s="68">
        <f t="shared" si="59"/>
        <v>2479.5</v>
      </c>
    </row>
    <row r="710" spans="1:15" x14ac:dyDescent="0.3">
      <c r="A710" s="67" t="s">
        <v>804</v>
      </c>
      <c r="B710" s="70">
        <v>45822</v>
      </c>
      <c r="C710" s="67">
        <f t="shared" si="55"/>
        <v>2025</v>
      </c>
      <c r="D710" s="67" t="str">
        <f t="shared" si="56"/>
        <v>06 Jun</v>
      </c>
      <c r="E710" s="67" t="s">
        <v>42</v>
      </c>
      <c r="F710" s="67" t="s">
        <v>71</v>
      </c>
      <c r="G710" s="67" t="s">
        <v>44</v>
      </c>
      <c r="H710" s="67" t="s">
        <v>112</v>
      </c>
      <c r="I710" s="71">
        <v>14</v>
      </c>
      <c r="J710" s="72">
        <v>710</v>
      </c>
      <c r="K710" s="73">
        <v>0.05</v>
      </c>
      <c r="L710" s="72">
        <v>380</v>
      </c>
      <c r="M710" s="68">
        <f t="shared" si="57"/>
        <v>9443</v>
      </c>
      <c r="N710" s="68">
        <f t="shared" si="58"/>
        <v>5320</v>
      </c>
      <c r="O710" s="68">
        <f t="shared" si="59"/>
        <v>4123</v>
      </c>
    </row>
    <row r="711" spans="1:15" x14ac:dyDescent="0.3">
      <c r="A711" s="67" t="s">
        <v>805</v>
      </c>
      <c r="B711" s="70">
        <v>45822</v>
      </c>
      <c r="C711" s="67">
        <f t="shared" si="55"/>
        <v>2025</v>
      </c>
      <c r="D711" s="67" t="str">
        <f t="shared" si="56"/>
        <v>06 Jun</v>
      </c>
      <c r="E711" s="67" t="s">
        <v>45</v>
      </c>
      <c r="F711" s="67" t="s">
        <v>69</v>
      </c>
      <c r="G711" s="67" t="s">
        <v>60</v>
      </c>
      <c r="H711" s="67" t="s">
        <v>93</v>
      </c>
      <c r="I711" s="71">
        <v>3</v>
      </c>
      <c r="J711" s="72">
        <v>24480</v>
      </c>
      <c r="K711" s="73">
        <v>0.1</v>
      </c>
      <c r="L711" s="72">
        <v>18000</v>
      </c>
      <c r="M711" s="68">
        <f t="shared" si="57"/>
        <v>66096</v>
      </c>
      <c r="N711" s="68">
        <f t="shared" si="58"/>
        <v>54000</v>
      </c>
      <c r="O711" s="68">
        <f t="shared" si="59"/>
        <v>12096</v>
      </c>
    </row>
    <row r="712" spans="1:15" x14ac:dyDescent="0.3">
      <c r="A712" s="67" t="s">
        <v>806</v>
      </c>
      <c r="B712" s="70">
        <v>45824</v>
      </c>
      <c r="C712" s="67">
        <f t="shared" si="55"/>
        <v>2025</v>
      </c>
      <c r="D712" s="67" t="str">
        <f t="shared" si="56"/>
        <v>06 Jun</v>
      </c>
      <c r="E712" s="67" t="s">
        <v>36</v>
      </c>
      <c r="F712" s="67" t="s">
        <v>69</v>
      </c>
      <c r="G712" s="67" t="s">
        <v>50</v>
      </c>
      <c r="H712" s="67" t="s">
        <v>114</v>
      </c>
      <c r="I712" s="71">
        <v>2</v>
      </c>
      <c r="J712" s="72">
        <v>56790</v>
      </c>
      <c r="K712" s="73">
        <v>0.1</v>
      </c>
      <c r="L712" s="72">
        <v>42000</v>
      </c>
      <c r="M712" s="68">
        <f t="shared" si="57"/>
        <v>102222</v>
      </c>
      <c r="N712" s="68">
        <f t="shared" si="58"/>
        <v>84000</v>
      </c>
      <c r="O712" s="68">
        <f t="shared" si="59"/>
        <v>18222</v>
      </c>
    </row>
    <row r="713" spans="1:15" x14ac:dyDescent="0.3">
      <c r="A713" s="67" t="s">
        <v>807</v>
      </c>
      <c r="B713" s="70">
        <v>45825</v>
      </c>
      <c r="C713" s="67">
        <f t="shared" si="55"/>
        <v>2025</v>
      </c>
      <c r="D713" s="67" t="str">
        <f t="shared" si="56"/>
        <v>06 Jun</v>
      </c>
      <c r="E713" s="67" t="s">
        <v>45</v>
      </c>
      <c r="F713" s="67" t="s">
        <v>69</v>
      </c>
      <c r="G713" s="67" t="s">
        <v>60</v>
      </c>
      <c r="H713" s="67" t="s">
        <v>87</v>
      </c>
      <c r="I713" s="71">
        <v>1</v>
      </c>
      <c r="J713" s="72">
        <v>24930</v>
      </c>
      <c r="K713" s="73">
        <v>0.1</v>
      </c>
      <c r="L713" s="72">
        <v>18000</v>
      </c>
      <c r="M713" s="68">
        <f t="shared" si="57"/>
        <v>22437</v>
      </c>
      <c r="N713" s="68">
        <f t="shared" si="58"/>
        <v>18000</v>
      </c>
      <c r="O713" s="68">
        <f t="shared" si="59"/>
        <v>4437</v>
      </c>
    </row>
    <row r="714" spans="1:15" x14ac:dyDescent="0.3">
      <c r="A714" s="67" t="s">
        <v>808</v>
      </c>
      <c r="B714" s="70">
        <v>45826</v>
      </c>
      <c r="C714" s="67">
        <f t="shared" si="55"/>
        <v>2025</v>
      </c>
      <c r="D714" s="67" t="str">
        <f t="shared" si="56"/>
        <v>06 Jun</v>
      </c>
      <c r="E714" s="67" t="s">
        <v>48</v>
      </c>
      <c r="F714" s="67" t="s">
        <v>66</v>
      </c>
      <c r="G714" s="67" t="s">
        <v>53</v>
      </c>
      <c r="H714" s="67" t="s">
        <v>98</v>
      </c>
      <c r="I714" s="71">
        <v>2</v>
      </c>
      <c r="J714" s="72">
        <v>11180</v>
      </c>
      <c r="K714" s="73">
        <v>0</v>
      </c>
      <c r="L714" s="72">
        <v>8000</v>
      </c>
      <c r="M714" s="68">
        <f t="shared" si="57"/>
        <v>22360</v>
      </c>
      <c r="N714" s="68">
        <f t="shared" si="58"/>
        <v>16000</v>
      </c>
      <c r="O714" s="68">
        <f t="shared" si="59"/>
        <v>6360</v>
      </c>
    </row>
    <row r="715" spans="1:15" x14ac:dyDescent="0.3">
      <c r="A715" s="67" t="s">
        <v>809</v>
      </c>
      <c r="B715" s="70">
        <v>45826</v>
      </c>
      <c r="C715" s="67">
        <f t="shared" si="55"/>
        <v>2025</v>
      </c>
      <c r="D715" s="67" t="str">
        <f t="shared" si="56"/>
        <v>06 Jun</v>
      </c>
      <c r="E715" s="67" t="s">
        <v>45</v>
      </c>
      <c r="F715" s="67" t="s">
        <v>71</v>
      </c>
      <c r="G715" s="67" t="s">
        <v>47</v>
      </c>
      <c r="H715" s="67" t="s">
        <v>93</v>
      </c>
      <c r="I715" s="71">
        <v>19</v>
      </c>
      <c r="J715" s="72">
        <v>290</v>
      </c>
      <c r="K715" s="73">
        <v>0.1</v>
      </c>
      <c r="L715" s="72">
        <v>160</v>
      </c>
      <c r="M715" s="68">
        <f t="shared" si="57"/>
        <v>4959</v>
      </c>
      <c r="N715" s="68">
        <f t="shared" si="58"/>
        <v>3040</v>
      </c>
      <c r="O715" s="68">
        <f t="shared" si="59"/>
        <v>1919</v>
      </c>
    </row>
    <row r="716" spans="1:15" x14ac:dyDescent="0.3">
      <c r="A716" s="67" t="s">
        <v>810</v>
      </c>
      <c r="B716" s="70">
        <v>45830</v>
      </c>
      <c r="C716" s="67">
        <f t="shared" si="55"/>
        <v>2025</v>
      </c>
      <c r="D716" s="67" t="str">
        <f t="shared" si="56"/>
        <v>06 Jun</v>
      </c>
      <c r="E716" s="67" t="s">
        <v>45</v>
      </c>
      <c r="F716" s="67" t="s">
        <v>66</v>
      </c>
      <c r="G716" s="67" t="s">
        <v>65</v>
      </c>
      <c r="H716" s="67" t="s">
        <v>93</v>
      </c>
      <c r="I716" s="71">
        <v>2</v>
      </c>
      <c r="J716" s="72">
        <v>14030</v>
      </c>
      <c r="K716" s="73">
        <v>0</v>
      </c>
      <c r="L716" s="72">
        <v>9000</v>
      </c>
      <c r="M716" s="68">
        <f t="shared" si="57"/>
        <v>28060</v>
      </c>
      <c r="N716" s="68">
        <f t="shared" si="58"/>
        <v>18000</v>
      </c>
      <c r="O716" s="68">
        <f t="shared" si="59"/>
        <v>10060</v>
      </c>
    </row>
    <row r="717" spans="1:15" x14ac:dyDescent="0.3">
      <c r="A717" s="67" t="s">
        <v>811</v>
      </c>
      <c r="B717" s="70">
        <v>45830</v>
      </c>
      <c r="C717" s="67">
        <f t="shared" si="55"/>
        <v>2025</v>
      </c>
      <c r="D717" s="67" t="str">
        <f t="shared" si="56"/>
        <v>06 Jun</v>
      </c>
      <c r="E717" s="67" t="s">
        <v>48</v>
      </c>
      <c r="F717" s="67" t="s">
        <v>71</v>
      </c>
      <c r="G717" s="67" t="s">
        <v>44</v>
      </c>
      <c r="H717" s="67" t="s">
        <v>98</v>
      </c>
      <c r="I717" s="71">
        <v>4</v>
      </c>
      <c r="J717" s="72">
        <v>670</v>
      </c>
      <c r="K717" s="73">
        <v>0</v>
      </c>
      <c r="L717" s="72">
        <v>380</v>
      </c>
      <c r="M717" s="68">
        <f t="shared" si="57"/>
        <v>2680</v>
      </c>
      <c r="N717" s="68">
        <f t="shared" si="58"/>
        <v>1520</v>
      </c>
      <c r="O717" s="68">
        <f t="shared" si="59"/>
        <v>1160</v>
      </c>
    </row>
    <row r="718" spans="1:15" x14ac:dyDescent="0.3">
      <c r="A718" s="67" t="s">
        <v>812</v>
      </c>
      <c r="B718" s="70">
        <v>45831</v>
      </c>
      <c r="C718" s="67">
        <f t="shared" si="55"/>
        <v>2025</v>
      </c>
      <c r="D718" s="67" t="str">
        <f t="shared" si="56"/>
        <v>06 Jun</v>
      </c>
      <c r="E718" s="67" t="s">
        <v>45</v>
      </c>
      <c r="F718" s="67" t="s">
        <v>69</v>
      </c>
      <c r="G718" s="67" t="s">
        <v>68</v>
      </c>
      <c r="H718" s="67" t="s">
        <v>93</v>
      </c>
      <c r="I718" s="71">
        <v>6</v>
      </c>
      <c r="J718" s="72">
        <v>3430</v>
      </c>
      <c r="K718" s="73">
        <v>0.05</v>
      </c>
      <c r="L718" s="72">
        <v>2000</v>
      </c>
      <c r="M718" s="68">
        <f t="shared" si="57"/>
        <v>19551</v>
      </c>
      <c r="N718" s="68">
        <f t="shared" si="58"/>
        <v>12000</v>
      </c>
      <c r="O718" s="68">
        <f t="shared" si="59"/>
        <v>7551</v>
      </c>
    </row>
    <row r="719" spans="1:15" x14ac:dyDescent="0.3">
      <c r="A719" s="67" t="s">
        <v>813</v>
      </c>
      <c r="B719" s="70">
        <v>45831</v>
      </c>
      <c r="C719" s="67">
        <f t="shared" si="55"/>
        <v>2025</v>
      </c>
      <c r="D719" s="67" t="str">
        <f t="shared" si="56"/>
        <v>06 Jun</v>
      </c>
      <c r="E719" s="67" t="s">
        <v>42</v>
      </c>
      <c r="F719" s="67" t="s">
        <v>66</v>
      </c>
      <c r="G719" s="67" t="s">
        <v>38</v>
      </c>
      <c r="H719" s="67" t="s">
        <v>112</v>
      </c>
      <c r="I719" s="71">
        <v>3</v>
      </c>
      <c r="J719" s="72">
        <v>14480</v>
      </c>
      <c r="K719" s="73">
        <v>0.1</v>
      </c>
      <c r="L719" s="72">
        <v>9500</v>
      </c>
      <c r="M719" s="68">
        <f t="shared" si="57"/>
        <v>39096</v>
      </c>
      <c r="N719" s="68">
        <f t="shared" si="58"/>
        <v>28500</v>
      </c>
      <c r="O719" s="68">
        <f t="shared" si="59"/>
        <v>10596</v>
      </c>
    </row>
    <row r="720" spans="1:15" x14ac:dyDescent="0.3">
      <c r="A720" s="67" t="s">
        <v>814</v>
      </c>
      <c r="B720" s="70">
        <v>45844</v>
      </c>
      <c r="C720" s="67">
        <f t="shared" si="55"/>
        <v>2025</v>
      </c>
      <c r="D720" s="67" t="str">
        <f t="shared" si="56"/>
        <v>07 Jul</v>
      </c>
      <c r="E720" s="67" t="s">
        <v>42</v>
      </c>
      <c r="F720" s="67" t="s">
        <v>69</v>
      </c>
      <c r="G720" s="67" t="s">
        <v>60</v>
      </c>
      <c r="H720" s="67" t="s">
        <v>89</v>
      </c>
      <c r="I720" s="71">
        <v>3</v>
      </c>
      <c r="J720" s="72">
        <v>23910</v>
      </c>
      <c r="K720" s="73">
        <v>0.05</v>
      </c>
      <c r="L720" s="72">
        <v>18000</v>
      </c>
      <c r="M720" s="68">
        <f t="shared" si="57"/>
        <v>68143.5</v>
      </c>
      <c r="N720" s="68">
        <f t="shared" si="58"/>
        <v>54000</v>
      </c>
      <c r="O720" s="68">
        <f t="shared" si="59"/>
        <v>14143.5</v>
      </c>
    </row>
    <row r="721" spans="1:15" x14ac:dyDescent="0.3">
      <c r="A721" s="67" t="s">
        <v>815</v>
      </c>
      <c r="B721" s="70">
        <v>45845</v>
      </c>
      <c r="C721" s="67">
        <f t="shared" si="55"/>
        <v>2025</v>
      </c>
      <c r="D721" s="67" t="str">
        <f t="shared" si="56"/>
        <v>07 Jul</v>
      </c>
      <c r="E721" s="67" t="s">
        <v>45</v>
      </c>
      <c r="F721" s="67" t="s">
        <v>69</v>
      </c>
      <c r="G721" s="67" t="s">
        <v>68</v>
      </c>
      <c r="H721" s="67" t="s">
        <v>87</v>
      </c>
      <c r="I721" s="71">
        <v>5</v>
      </c>
      <c r="J721" s="72">
        <v>3490</v>
      </c>
      <c r="K721" s="73">
        <v>0.15</v>
      </c>
      <c r="L721" s="72">
        <v>2000</v>
      </c>
      <c r="M721" s="68">
        <f t="shared" si="57"/>
        <v>14832.5</v>
      </c>
      <c r="N721" s="68">
        <f t="shared" si="58"/>
        <v>10000</v>
      </c>
      <c r="O721" s="68">
        <f t="shared" si="59"/>
        <v>4832.5</v>
      </c>
    </row>
    <row r="722" spans="1:15" x14ac:dyDescent="0.3">
      <c r="A722" s="67" t="s">
        <v>816</v>
      </c>
      <c r="B722" s="70">
        <v>45848</v>
      </c>
      <c r="C722" s="67">
        <f t="shared" si="55"/>
        <v>2025</v>
      </c>
      <c r="D722" s="67" t="str">
        <f t="shared" si="56"/>
        <v>07 Jul</v>
      </c>
      <c r="E722" s="67" t="s">
        <v>39</v>
      </c>
      <c r="F722" s="67" t="s">
        <v>66</v>
      </c>
      <c r="G722" s="67" t="s">
        <v>38</v>
      </c>
      <c r="H722" s="67" t="s">
        <v>100</v>
      </c>
      <c r="I722" s="71">
        <v>1</v>
      </c>
      <c r="J722" s="72">
        <v>13420</v>
      </c>
      <c r="K722" s="73">
        <v>0.05</v>
      </c>
      <c r="L722" s="72">
        <v>9500</v>
      </c>
      <c r="M722" s="68">
        <f t="shared" si="57"/>
        <v>12749</v>
      </c>
      <c r="N722" s="68">
        <f t="shared" si="58"/>
        <v>9500</v>
      </c>
      <c r="O722" s="68">
        <f t="shared" si="59"/>
        <v>3249</v>
      </c>
    </row>
    <row r="723" spans="1:15" x14ac:dyDescent="0.3">
      <c r="A723" s="67" t="s">
        <v>817</v>
      </c>
      <c r="B723" s="70">
        <v>45849</v>
      </c>
      <c r="C723" s="67">
        <f t="shared" si="55"/>
        <v>2025</v>
      </c>
      <c r="D723" s="67" t="str">
        <f t="shared" si="56"/>
        <v>07 Jul</v>
      </c>
      <c r="E723" s="67" t="s">
        <v>39</v>
      </c>
      <c r="F723" s="67" t="s">
        <v>70</v>
      </c>
      <c r="G723" s="67" t="s">
        <v>41</v>
      </c>
      <c r="H723" s="67" t="s">
        <v>107</v>
      </c>
      <c r="I723" s="71">
        <v>3</v>
      </c>
      <c r="J723" s="72">
        <v>6290</v>
      </c>
      <c r="K723" s="73">
        <v>0.05</v>
      </c>
      <c r="L723" s="72">
        <v>4200</v>
      </c>
      <c r="M723" s="68">
        <f t="shared" si="57"/>
        <v>17926.5</v>
      </c>
      <c r="N723" s="68">
        <f t="shared" si="58"/>
        <v>12600</v>
      </c>
      <c r="O723" s="68">
        <f t="shared" si="59"/>
        <v>5326.5</v>
      </c>
    </row>
    <row r="724" spans="1:15" x14ac:dyDescent="0.3">
      <c r="A724" s="67" t="s">
        <v>818</v>
      </c>
      <c r="B724" s="70">
        <v>45850</v>
      </c>
      <c r="C724" s="67">
        <f t="shared" si="55"/>
        <v>2025</v>
      </c>
      <c r="D724" s="67" t="str">
        <f t="shared" si="56"/>
        <v>07 Jul</v>
      </c>
      <c r="E724" s="67" t="s">
        <v>48</v>
      </c>
      <c r="F724" s="67" t="s">
        <v>70</v>
      </c>
      <c r="G724" s="67" t="s">
        <v>62</v>
      </c>
      <c r="H724" s="67" t="s">
        <v>98</v>
      </c>
      <c r="I724" s="71">
        <v>3</v>
      </c>
      <c r="J724" s="72">
        <v>18160</v>
      </c>
      <c r="K724" s="73">
        <v>0.15</v>
      </c>
      <c r="L724" s="72">
        <v>12500</v>
      </c>
      <c r="M724" s="68">
        <f t="shared" si="57"/>
        <v>46308</v>
      </c>
      <c r="N724" s="68">
        <f t="shared" si="58"/>
        <v>37500</v>
      </c>
      <c r="O724" s="68">
        <f t="shared" si="59"/>
        <v>8808</v>
      </c>
    </row>
    <row r="725" spans="1:15" x14ac:dyDescent="0.3">
      <c r="A725" s="67" t="s">
        <v>819</v>
      </c>
      <c r="B725" s="70">
        <v>45851</v>
      </c>
      <c r="C725" s="67">
        <f t="shared" si="55"/>
        <v>2025</v>
      </c>
      <c r="D725" s="67" t="str">
        <f t="shared" si="56"/>
        <v>07 Jul</v>
      </c>
      <c r="E725" s="67" t="s">
        <v>48</v>
      </c>
      <c r="F725" s="67" t="s">
        <v>70</v>
      </c>
      <c r="G725" s="67" t="s">
        <v>62</v>
      </c>
      <c r="H725" s="67" t="s">
        <v>98</v>
      </c>
      <c r="I725" s="71">
        <v>1</v>
      </c>
      <c r="J725" s="72">
        <v>18420</v>
      </c>
      <c r="K725" s="73">
        <v>0.05</v>
      </c>
      <c r="L725" s="72">
        <v>12500</v>
      </c>
      <c r="M725" s="68">
        <f t="shared" si="57"/>
        <v>17499</v>
      </c>
      <c r="N725" s="68">
        <f t="shared" si="58"/>
        <v>12500</v>
      </c>
      <c r="O725" s="68">
        <f t="shared" si="59"/>
        <v>4999</v>
      </c>
    </row>
    <row r="726" spans="1:15" x14ac:dyDescent="0.3">
      <c r="A726" s="67" t="s">
        <v>820</v>
      </c>
      <c r="B726" s="70">
        <v>45852</v>
      </c>
      <c r="C726" s="67">
        <f t="shared" si="55"/>
        <v>2025</v>
      </c>
      <c r="D726" s="67" t="str">
        <f t="shared" si="56"/>
        <v>07 Jul</v>
      </c>
      <c r="E726" s="67" t="s">
        <v>45</v>
      </c>
      <c r="F726" s="67" t="s">
        <v>71</v>
      </c>
      <c r="G726" s="67" t="s">
        <v>55</v>
      </c>
      <c r="H726" s="67" t="s">
        <v>87</v>
      </c>
      <c r="I726" s="71">
        <v>22</v>
      </c>
      <c r="J726" s="72">
        <v>430</v>
      </c>
      <c r="K726" s="73">
        <v>0.1</v>
      </c>
      <c r="L726" s="72">
        <v>250</v>
      </c>
      <c r="M726" s="68">
        <f t="shared" si="57"/>
        <v>8514</v>
      </c>
      <c r="N726" s="68">
        <f t="shared" si="58"/>
        <v>5500</v>
      </c>
      <c r="O726" s="68">
        <f t="shared" si="59"/>
        <v>3014</v>
      </c>
    </row>
    <row r="727" spans="1:15" x14ac:dyDescent="0.3">
      <c r="A727" s="67" t="s">
        <v>821</v>
      </c>
      <c r="B727" s="70">
        <v>45853</v>
      </c>
      <c r="C727" s="67">
        <f t="shared" si="55"/>
        <v>2025</v>
      </c>
      <c r="D727" s="67" t="str">
        <f t="shared" si="56"/>
        <v>07 Jul</v>
      </c>
      <c r="E727" s="67" t="s">
        <v>42</v>
      </c>
      <c r="F727" s="67" t="s">
        <v>71</v>
      </c>
      <c r="G727" s="67" t="s">
        <v>47</v>
      </c>
      <c r="H727" s="67" t="s">
        <v>89</v>
      </c>
      <c r="I727" s="71">
        <v>20</v>
      </c>
      <c r="J727" s="72">
        <v>300</v>
      </c>
      <c r="K727" s="73">
        <v>0</v>
      </c>
      <c r="L727" s="72">
        <v>160</v>
      </c>
      <c r="M727" s="68">
        <f t="shared" si="57"/>
        <v>6000</v>
      </c>
      <c r="N727" s="68">
        <f t="shared" si="58"/>
        <v>3200</v>
      </c>
      <c r="O727" s="68">
        <f t="shared" si="59"/>
        <v>2800</v>
      </c>
    </row>
    <row r="728" spans="1:15" x14ac:dyDescent="0.3">
      <c r="A728" s="67" t="s">
        <v>822</v>
      </c>
      <c r="B728" s="70">
        <v>45854</v>
      </c>
      <c r="C728" s="67">
        <f t="shared" si="55"/>
        <v>2025</v>
      </c>
      <c r="D728" s="67" t="str">
        <f t="shared" si="56"/>
        <v>07 Jul</v>
      </c>
      <c r="E728" s="67" t="s">
        <v>39</v>
      </c>
      <c r="F728" s="67" t="s">
        <v>69</v>
      </c>
      <c r="G728" s="67" t="s">
        <v>60</v>
      </c>
      <c r="H728" s="67" t="s">
        <v>100</v>
      </c>
      <c r="I728" s="71">
        <v>1</v>
      </c>
      <c r="J728" s="72">
        <v>23640</v>
      </c>
      <c r="K728" s="73">
        <v>0.05</v>
      </c>
      <c r="L728" s="72">
        <v>18000</v>
      </c>
      <c r="M728" s="68">
        <f t="shared" si="57"/>
        <v>22458</v>
      </c>
      <c r="N728" s="68">
        <f t="shared" si="58"/>
        <v>18000</v>
      </c>
      <c r="O728" s="68">
        <f t="shared" si="59"/>
        <v>4458</v>
      </c>
    </row>
    <row r="729" spans="1:15" x14ac:dyDescent="0.3">
      <c r="A729" s="67" t="s">
        <v>823</v>
      </c>
      <c r="B729" s="70">
        <v>45855</v>
      </c>
      <c r="C729" s="67">
        <f t="shared" si="55"/>
        <v>2025</v>
      </c>
      <c r="D729" s="67" t="str">
        <f t="shared" si="56"/>
        <v>07 Jul</v>
      </c>
      <c r="E729" s="67" t="s">
        <v>45</v>
      </c>
      <c r="F729" s="67" t="s">
        <v>70</v>
      </c>
      <c r="G729" s="67" t="s">
        <v>62</v>
      </c>
      <c r="H729" s="67" t="s">
        <v>87</v>
      </c>
      <c r="I729" s="71">
        <v>3</v>
      </c>
      <c r="J729" s="72">
        <v>17260</v>
      </c>
      <c r="K729" s="73">
        <v>0</v>
      </c>
      <c r="L729" s="72">
        <v>12500</v>
      </c>
      <c r="M729" s="68">
        <f t="shared" si="57"/>
        <v>51780</v>
      </c>
      <c r="N729" s="68">
        <f t="shared" si="58"/>
        <v>37500</v>
      </c>
      <c r="O729" s="68">
        <f t="shared" si="59"/>
        <v>14280</v>
      </c>
    </row>
    <row r="730" spans="1:15" x14ac:dyDescent="0.3">
      <c r="A730" s="67" t="s">
        <v>824</v>
      </c>
      <c r="B730" s="70">
        <v>45857</v>
      </c>
      <c r="C730" s="67">
        <f t="shared" si="55"/>
        <v>2025</v>
      </c>
      <c r="D730" s="67" t="str">
        <f t="shared" si="56"/>
        <v>07 Jul</v>
      </c>
      <c r="E730" s="67" t="s">
        <v>36</v>
      </c>
      <c r="F730" s="67" t="s">
        <v>66</v>
      </c>
      <c r="G730" s="67" t="s">
        <v>65</v>
      </c>
      <c r="H730" s="67" t="s">
        <v>114</v>
      </c>
      <c r="I730" s="71">
        <v>1</v>
      </c>
      <c r="J730" s="72">
        <v>13750</v>
      </c>
      <c r="K730" s="73">
        <v>0.05</v>
      </c>
      <c r="L730" s="72">
        <v>9000</v>
      </c>
      <c r="M730" s="68">
        <f t="shared" si="57"/>
        <v>13062.5</v>
      </c>
      <c r="N730" s="68">
        <f t="shared" si="58"/>
        <v>9000</v>
      </c>
      <c r="O730" s="68">
        <f t="shared" si="59"/>
        <v>4062.5</v>
      </c>
    </row>
    <row r="731" spans="1:15" x14ac:dyDescent="0.3">
      <c r="A731" s="67" t="s">
        <v>825</v>
      </c>
      <c r="B731" s="70">
        <v>45857</v>
      </c>
      <c r="C731" s="67">
        <f t="shared" si="55"/>
        <v>2025</v>
      </c>
      <c r="D731" s="67" t="str">
        <f t="shared" si="56"/>
        <v>07 Jul</v>
      </c>
      <c r="E731" s="67" t="s">
        <v>48</v>
      </c>
      <c r="F731" s="67" t="s">
        <v>71</v>
      </c>
      <c r="G731" s="67" t="s">
        <v>47</v>
      </c>
      <c r="H731" s="67" t="s">
        <v>95</v>
      </c>
      <c r="I731" s="71">
        <v>41</v>
      </c>
      <c r="J731" s="72">
        <v>300</v>
      </c>
      <c r="K731" s="73">
        <v>0</v>
      </c>
      <c r="L731" s="72">
        <v>160</v>
      </c>
      <c r="M731" s="68">
        <f t="shared" si="57"/>
        <v>12300</v>
      </c>
      <c r="N731" s="68">
        <f t="shared" si="58"/>
        <v>6560</v>
      </c>
      <c r="O731" s="68">
        <f t="shared" si="59"/>
        <v>5740</v>
      </c>
    </row>
    <row r="732" spans="1:15" x14ac:dyDescent="0.3">
      <c r="A732" s="67" t="s">
        <v>826</v>
      </c>
      <c r="B732" s="70">
        <v>45858</v>
      </c>
      <c r="C732" s="67">
        <f t="shared" si="55"/>
        <v>2025</v>
      </c>
      <c r="D732" s="67" t="str">
        <f t="shared" si="56"/>
        <v>07 Jul</v>
      </c>
      <c r="E732" s="67" t="s">
        <v>36</v>
      </c>
      <c r="F732" s="67" t="s">
        <v>66</v>
      </c>
      <c r="G732" s="67" t="s">
        <v>53</v>
      </c>
      <c r="H732" s="67" t="s">
        <v>91</v>
      </c>
      <c r="I732" s="71">
        <v>1</v>
      </c>
      <c r="J732" s="72">
        <v>10870</v>
      </c>
      <c r="K732" s="73">
        <v>0</v>
      </c>
      <c r="L732" s="72">
        <v>8000</v>
      </c>
      <c r="M732" s="68">
        <f t="shared" si="57"/>
        <v>10870</v>
      </c>
      <c r="N732" s="68">
        <f t="shared" si="58"/>
        <v>8000</v>
      </c>
      <c r="O732" s="68">
        <f t="shared" si="59"/>
        <v>2870</v>
      </c>
    </row>
    <row r="733" spans="1:15" x14ac:dyDescent="0.3">
      <c r="A733" s="67" t="s">
        <v>827</v>
      </c>
      <c r="B733" s="70">
        <v>45860</v>
      </c>
      <c r="C733" s="67">
        <f t="shared" si="55"/>
        <v>2025</v>
      </c>
      <c r="D733" s="67" t="str">
        <f t="shared" si="56"/>
        <v>07 Jul</v>
      </c>
      <c r="E733" s="67" t="s">
        <v>36</v>
      </c>
      <c r="F733" s="67" t="s">
        <v>71</v>
      </c>
      <c r="G733" s="67" t="s">
        <v>47</v>
      </c>
      <c r="H733" s="67" t="s">
        <v>114</v>
      </c>
      <c r="I733" s="71">
        <v>16</v>
      </c>
      <c r="J733" s="72">
        <v>290</v>
      </c>
      <c r="K733" s="73">
        <v>0.1</v>
      </c>
      <c r="L733" s="72">
        <v>160</v>
      </c>
      <c r="M733" s="68">
        <f t="shared" si="57"/>
        <v>4176</v>
      </c>
      <c r="N733" s="68">
        <f t="shared" si="58"/>
        <v>2560</v>
      </c>
      <c r="O733" s="68">
        <f t="shared" si="59"/>
        <v>1616</v>
      </c>
    </row>
    <row r="734" spans="1:15" x14ac:dyDescent="0.3">
      <c r="A734" s="67" t="s">
        <v>828</v>
      </c>
      <c r="B734" s="70">
        <v>45860</v>
      </c>
      <c r="C734" s="67">
        <f t="shared" si="55"/>
        <v>2025</v>
      </c>
      <c r="D734" s="67" t="str">
        <f t="shared" si="56"/>
        <v>07 Jul</v>
      </c>
      <c r="E734" s="67" t="s">
        <v>48</v>
      </c>
      <c r="F734" s="67" t="s">
        <v>71</v>
      </c>
      <c r="G734" s="67" t="s">
        <v>47</v>
      </c>
      <c r="H734" s="67" t="s">
        <v>95</v>
      </c>
      <c r="I734" s="71">
        <v>45</v>
      </c>
      <c r="J734" s="72">
        <v>290</v>
      </c>
      <c r="K734" s="73">
        <v>0.05</v>
      </c>
      <c r="L734" s="72">
        <v>160</v>
      </c>
      <c r="M734" s="68">
        <f t="shared" si="57"/>
        <v>12397.5</v>
      </c>
      <c r="N734" s="68">
        <f t="shared" si="58"/>
        <v>7200</v>
      </c>
      <c r="O734" s="68">
        <f t="shared" si="59"/>
        <v>5197.5</v>
      </c>
    </row>
    <row r="735" spans="1:15" x14ac:dyDescent="0.3">
      <c r="A735" s="67" t="s">
        <v>829</v>
      </c>
      <c r="B735" s="70">
        <v>45862</v>
      </c>
      <c r="C735" s="67">
        <f t="shared" si="55"/>
        <v>2025</v>
      </c>
      <c r="D735" s="67" t="str">
        <f t="shared" si="56"/>
        <v>07 Jul</v>
      </c>
      <c r="E735" s="67" t="s">
        <v>45</v>
      </c>
      <c r="F735" s="67" t="s">
        <v>69</v>
      </c>
      <c r="G735" s="67" t="s">
        <v>50</v>
      </c>
      <c r="H735" s="67" t="s">
        <v>87</v>
      </c>
      <c r="I735" s="71">
        <v>2</v>
      </c>
      <c r="J735" s="72">
        <v>53380</v>
      </c>
      <c r="K735" s="73">
        <v>0.05</v>
      </c>
      <c r="L735" s="72">
        <v>42000</v>
      </c>
      <c r="M735" s="68">
        <f t="shared" si="57"/>
        <v>101422</v>
      </c>
      <c r="N735" s="68">
        <f t="shared" si="58"/>
        <v>84000</v>
      </c>
      <c r="O735" s="68">
        <f t="shared" si="59"/>
        <v>17422</v>
      </c>
    </row>
    <row r="736" spans="1:15" x14ac:dyDescent="0.3">
      <c r="A736" s="67" t="s">
        <v>830</v>
      </c>
      <c r="B736" s="70">
        <v>45864</v>
      </c>
      <c r="C736" s="67">
        <f t="shared" si="55"/>
        <v>2025</v>
      </c>
      <c r="D736" s="67" t="str">
        <f t="shared" si="56"/>
        <v>07 Jul</v>
      </c>
      <c r="E736" s="67" t="s">
        <v>48</v>
      </c>
      <c r="F736" s="67" t="s">
        <v>66</v>
      </c>
      <c r="G736" s="67" t="s">
        <v>53</v>
      </c>
      <c r="H736" s="67" t="s">
        <v>95</v>
      </c>
      <c r="I736" s="71">
        <v>3</v>
      </c>
      <c r="J736" s="72">
        <v>11190</v>
      </c>
      <c r="K736" s="73">
        <v>0.05</v>
      </c>
      <c r="L736" s="72">
        <v>8000</v>
      </c>
      <c r="M736" s="68">
        <f t="shared" si="57"/>
        <v>31891.5</v>
      </c>
      <c r="N736" s="68">
        <f t="shared" si="58"/>
        <v>24000</v>
      </c>
      <c r="O736" s="68">
        <f t="shared" si="59"/>
        <v>7891.5</v>
      </c>
    </row>
    <row r="737" spans="1:15" x14ac:dyDescent="0.3">
      <c r="A737" s="67" t="s">
        <v>831</v>
      </c>
      <c r="B737" s="70">
        <v>45865</v>
      </c>
      <c r="C737" s="67">
        <f t="shared" si="55"/>
        <v>2025</v>
      </c>
      <c r="D737" s="67" t="str">
        <f t="shared" si="56"/>
        <v>07 Jul</v>
      </c>
      <c r="E737" s="67" t="s">
        <v>48</v>
      </c>
      <c r="F737" s="67" t="s">
        <v>69</v>
      </c>
      <c r="G737" s="67" t="s">
        <v>60</v>
      </c>
      <c r="H737" s="67" t="s">
        <v>95</v>
      </c>
      <c r="I737" s="71">
        <v>2</v>
      </c>
      <c r="J737" s="72">
        <v>24210</v>
      </c>
      <c r="K737" s="73">
        <v>0.05</v>
      </c>
      <c r="L737" s="72">
        <v>18000</v>
      </c>
      <c r="M737" s="68">
        <f t="shared" si="57"/>
        <v>45999</v>
      </c>
      <c r="N737" s="68">
        <f t="shared" si="58"/>
        <v>36000</v>
      </c>
      <c r="O737" s="68">
        <f t="shared" si="59"/>
        <v>9999</v>
      </c>
    </row>
    <row r="738" spans="1:15" x14ac:dyDescent="0.3">
      <c r="A738" s="67" t="s">
        <v>832</v>
      </c>
      <c r="B738" s="70">
        <v>45865</v>
      </c>
      <c r="C738" s="67">
        <f t="shared" si="55"/>
        <v>2025</v>
      </c>
      <c r="D738" s="67" t="str">
        <f t="shared" si="56"/>
        <v>07 Jul</v>
      </c>
      <c r="E738" s="67" t="s">
        <v>36</v>
      </c>
      <c r="F738" s="67" t="s">
        <v>70</v>
      </c>
      <c r="G738" s="67" t="s">
        <v>58</v>
      </c>
      <c r="H738" s="67" t="s">
        <v>91</v>
      </c>
      <c r="I738" s="71">
        <v>4</v>
      </c>
      <c r="J738" s="72">
        <v>9210</v>
      </c>
      <c r="K738" s="73">
        <v>0.1</v>
      </c>
      <c r="L738" s="72">
        <v>6000</v>
      </c>
      <c r="M738" s="68">
        <f t="shared" si="57"/>
        <v>33156</v>
      </c>
      <c r="N738" s="68">
        <f t="shared" si="58"/>
        <v>24000</v>
      </c>
      <c r="O738" s="68">
        <f t="shared" si="59"/>
        <v>9156</v>
      </c>
    </row>
    <row r="739" spans="1:15" x14ac:dyDescent="0.3">
      <c r="A739" s="67" t="s">
        <v>833</v>
      </c>
      <c r="B739" s="70">
        <v>45866</v>
      </c>
      <c r="C739" s="67">
        <f t="shared" si="55"/>
        <v>2025</v>
      </c>
      <c r="D739" s="67" t="str">
        <f t="shared" si="56"/>
        <v>07 Jul</v>
      </c>
      <c r="E739" s="67" t="s">
        <v>45</v>
      </c>
      <c r="F739" s="67" t="s">
        <v>71</v>
      </c>
      <c r="G739" s="67" t="s">
        <v>55</v>
      </c>
      <c r="H739" s="67" t="s">
        <v>93</v>
      </c>
      <c r="I739" s="71">
        <v>32</v>
      </c>
      <c r="J739" s="72">
        <v>450</v>
      </c>
      <c r="K739" s="73">
        <v>0.05</v>
      </c>
      <c r="L739" s="72">
        <v>250</v>
      </c>
      <c r="M739" s="68">
        <f t="shared" si="57"/>
        <v>13680</v>
      </c>
      <c r="N739" s="68">
        <f t="shared" si="58"/>
        <v>8000</v>
      </c>
      <c r="O739" s="68">
        <f t="shared" si="59"/>
        <v>5680</v>
      </c>
    </row>
    <row r="740" spans="1:15" x14ac:dyDescent="0.3">
      <c r="A740" s="67" t="s">
        <v>834</v>
      </c>
      <c r="B740" s="70">
        <v>45870</v>
      </c>
      <c r="C740" s="67">
        <f t="shared" si="55"/>
        <v>2025</v>
      </c>
      <c r="D740" s="67" t="str">
        <f t="shared" si="56"/>
        <v>08 Aug</v>
      </c>
      <c r="E740" s="67" t="s">
        <v>42</v>
      </c>
      <c r="F740" s="67" t="s">
        <v>71</v>
      </c>
      <c r="G740" s="67" t="s">
        <v>47</v>
      </c>
      <c r="H740" s="67" t="s">
        <v>89</v>
      </c>
      <c r="I740" s="71">
        <v>40</v>
      </c>
      <c r="J740" s="72">
        <v>310</v>
      </c>
      <c r="K740" s="73">
        <v>0.05</v>
      </c>
      <c r="L740" s="72">
        <v>160</v>
      </c>
      <c r="M740" s="68">
        <f t="shared" si="57"/>
        <v>11780</v>
      </c>
      <c r="N740" s="68">
        <f t="shared" si="58"/>
        <v>6400</v>
      </c>
      <c r="O740" s="68">
        <f t="shared" si="59"/>
        <v>5380</v>
      </c>
    </row>
    <row r="741" spans="1:15" x14ac:dyDescent="0.3">
      <c r="A741" s="67" t="s">
        <v>835</v>
      </c>
      <c r="B741" s="70">
        <v>45873</v>
      </c>
      <c r="C741" s="67">
        <f t="shared" si="55"/>
        <v>2025</v>
      </c>
      <c r="D741" s="67" t="str">
        <f t="shared" si="56"/>
        <v>08 Aug</v>
      </c>
      <c r="E741" s="67" t="s">
        <v>39</v>
      </c>
      <c r="F741" s="67" t="s">
        <v>71</v>
      </c>
      <c r="G741" s="67" t="s">
        <v>47</v>
      </c>
      <c r="H741" s="67" t="s">
        <v>100</v>
      </c>
      <c r="I741" s="71">
        <v>12</v>
      </c>
      <c r="J741" s="72">
        <v>290</v>
      </c>
      <c r="K741" s="73">
        <v>0</v>
      </c>
      <c r="L741" s="72">
        <v>160</v>
      </c>
      <c r="M741" s="68">
        <f t="shared" si="57"/>
        <v>3480</v>
      </c>
      <c r="N741" s="68">
        <f t="shared" si="58"/>
        <v>1920</v>
      </c>
      <c r="O741" s="68">
        <f t="shared" si="59"/>
        <v>1560</v>
      </c>
    </row>
    <row r="742" spans="1:15" x14ac:dyDescent="0.3">
      <c r="A742" s="67" t="s">
        <v>836</v>
      </c>
      <c r="B742" s="70">
        <v>45873</v>
      </c>
      <c r="C742" s="67">
        <f t="shared" si="55"/>
        <v>2025</v>
      </c>
      <c r="D742" s="67" t="str">
        <f t="shared" si="56"/>
        <v>08 Aug</v>
      </c>
      <c r="E742" s="67" t="s">
        <v>48</v>
      </c>
      <c r="F742" s="67" t="s">
        <v>69</v>
      </c>
      <c r="G742" s="67" t="s">
        <v>60</v>
      </c>
      <c r="H742" s="67" t="s">
        <v>98</v>
      </c>
      <c r="I742" s="71">
        <v>3</v>
      </c>
      <c r="J742" s="72">
        <v>24440</v>
      </c>
      <c r="K742" s="73">
        <v>0.1</v>
      </c>
      <c r="L742" s="72">
        <v>18000</v>
      </c>
      <c r="M742" s="68">
        <f t="shared" si="57"/>
        <v>65988</v>
      </c>
      <c r="N742" s="68">
        <f t="shared" si="58"/>
        <v>54000</v>
      </c>
      <c r="O742" s="68">
        <f t="shared" si="59"/>
        <v>11988</v>
      </c>
    </row>
    <row r="743" spans="1:15" x14ac:dyDescent="0.3">
      <c r="A743" s="67" t="s">
        <v>837</v>
      </c>
      <c r="B743" s="70">
        <v>45874</v>
      </c>
      <c r="C743" s="67">
        <f t="shared" si="55"/>
        <v>2025</v>
      </c>
      <c r="D743" s="67" t="str">
        <f t="shared" si="56"/>
        <v>08 Aug</v>
      </c>
      <c r="E743" s="67" t="s">
        <v>36</v>
      </c>
      <c r="F743" s="67" t="s">
        <v>71</v>
      </c>
      <c r="G743" s="67" t="s">
        <v>44</v>
      </c>
      <c r="H743" s="67" t="s">
        <v>91</v>
      </c>
      <c r="I743" s="71">
        <v>20</v>
      </c>
      <c r="J743" s="72">
        <v>670</v>
      </c>
      <c r="K743" s="73">
        <v>0.05</v>
      </c>
      <c r="L743" s="72">
        <v>380</v>
      </c>
      <c r="M743" s="68">
        <f t="shared" si="57"/>
        <v>12730</v>
      </c>
      <c r="N743" s="68">
        <f t="shared" si="58"/>
        <v>7600</v>
      </c>
      <c r="O743" s="68">
        <f t="shared" si="59"/>
        <v>5130</v>
      </c>
    </row>
    <row r="744" spans="1:15" x14ac:dyDescent="0.3">
      <c r="A744" s="67" t="s">
        <v>838</v>
      </c>
      <c r="B744" s="70">
        <v>45875</v>
      </c>
      <c r="C744" s="67">
        <f t="shared" si="55"/>
        <v>2025</v>
      </c>
      <c r="D744" s="67" t="str">
        <f t="shared" si="56"/>
        <v>08 Aug</v>
      </c>
      <c r="E744" s="67" t="s">
        <v>48</v>
      </c>
      <c r="F744" s="67" t="s">
        <v>71</v>
      </c>
      <c r="G744" s="67" t="s">
        <v>55</v>
      </c>
      <c r="H744" s="67" t="s">
        <v>95</v>
      </c>
      <c r="I744" s="71">
        <v>21</v>
      </c>
      <c r="J744" s="72">
        <v>470</v>
      </c>
      <c r="K744" s="73">
        <v>0.1</v>
      </c>
      <c r="L744" s="72">
        <v>250</v>
      </c>
      <c r="M744" s="68">
        <f t="shared" si="57"/>
        <v>8883</v>
      </c>
      <c r="N744" s="68">
        <f t="shared" si="58"/>
        <v>5250</v>
      </c>
      <c r="O744" s="68">
        <f t="shared" si="59"/>
        <v>3633</v>
      </c>
    </row>
    <row r="745" spans="1:15" x14ac:dyDescent="0.3">
      <c r="A745" s="67" t="s">
        <v>839</v>
      </c>
      <c r="B745" s="70">
        <v>45876</v>
      </c>
      <c r="C745" s="67">
        <f t="shared" si="55"/>
        <v>2025</v>
      </c>
      <c r="D745" s="67" t="str">
        <f t="shared" si="56"/>
        <v>08 Aug</v>
      </c>
      <c r="E745" s="67" t="s">
        <v>39</v>
      </c>
      <c r="F745" s="67" t="s">
        <v>71</v>
      </c>
      <c r="G745" s="67" t="s">
        <v>47</v>
      </c>
      <c r="H745" s="67" t="s">
        <v>107</v>
      </c>
      <c r="I745" s="71">
        <v>23</v>
      </c>
      <c r="J745" s="72">
        <v>290</v>
      </c>
      <c r="K745" s="73">
        <v>0.05</v>
      </c>
      <c r="L745" s="72">
        <v>160</v>
      </c>
      <c r="M745" s="68">
        <f t="shared" si="57"/>
        <v>6336.5</v>
      </c>
      <c r="N745" s="68">
        <f t="shared" si="58"/>
        <v>3680</v>
      </c>
      <c r="O745" s="68">
        <f t="shared" si="59"/>
        <v>2656.5</v>
      </c>
    </row>
    <row r="746" spans="1:15" x14ac:dyDescent="0.3">
      <c r="A746" s="67" t="s">
        <v>840</v>
      </c>
      <c r="B746" s="70">
        <v>45876</v>
      </c>
      <c r="C746" s="67">
        <f t="shared" si="55"/>
        <v>2025</v>
      </c>
      <c r="D746" s="67" t="str">
        <f t="shared" si="56"/>
        <v>08 Aug</v>
      </c>
      <c r="E746" s="67" t="s">
        <v>36</v>
      </c>
      <c r="F746" s="67" t="s">
        <v>66</v>
      </c>
      <c r="G746" s="67" t="s">
        <v>65</v>
      </c>
      <c r="H746" s="67" t="s">
        <v>114</v>
      </c>
      <c r="I746" s="71">
        <v>3</v>
      </c>
      <c r="J746" s="72">
        <v>13780</v>
      </c>
      <c r="K746" s="73">
        <v>0.1</v>
      </c>
      <c r="L746" s="72">
        <v>9000</v>
      </c>
      <c r="M746" s="68">
        <f t="shared" si="57"/>
        <v>37206</v>
      </c>
      <c r="N746" s="68">
        <f t="shared" si="58"/>
        <v>27000</v>
      </c>
      <c r="O746" s="68">
        <f t="shared" si="59"/>
        <v>10206</v>
      </c>
    </row>
    <row r="747" spans="1:15" x14ac:dyDescent="0.3">
      <c r="A747" s="67" t="s">
        <v>841</v>
      </c>
      <c r="B747" s="70">
        <v>45878</v>
      </c>
      <c r="C747" s="67">
        <f t="shared" si="55"/>
        <v>2025</v>
      </c>
      <c r="D747" s="67" t="str">
        <f t="shared" si="56"/>
        <v>08 Aug</v>
      </c>
      <c r="E747" s="67" t="s">
        <v>36</v>
      </c>
      <c r="F747" s="67" t="s">
        <v>69</v>
      </c>
      <c r="G747" s="67" t="s">
        <v>50</v>
      </c>
      <c r="H747" s="67" t="s">
        <v>114</v>
      </c>
      <c r="I747" s="71">
        <v>2</v>
      </c>
      <c r="J747" s="72">
        <v>52370</v>
      </c>
      <c r="K747" s="73">
        <v>0</v>
      </c>
      <c r="L747" s="72">
        <v>42000</v>
      </c>
      <c r="M747" s="68">
        <f t="shared" si="57"/>
        <v>104740</v>
      </c>
      <c r="N747" s="68">
        <f t="shared" si="58"/>
        <v>84000</v>
      </c>
      <c r="O747" s="68">
        <f t="shared" si="59"/>
        <v>20740</v>
      </c>
    </row>
    <row r="748" spans="1:15" x14ac:dyDescent="0.3">
      <c r="A748" s="67" t="s">
        <v>842</v>
      </c>
      <c r="B748" s="70">
        <v>45879</v>
      </c>
      <c r="C748" s="67">
        <f t="shared" si="55"/>
        <v>2025</v>
      </c>
      <c r="D748" s="67" t="str">
        <f t="shared" si="56"/>
        <v>08 Aug</v>
      </c>
      <c r="E748" s="67" t="s">
        <v>48</v>
      </c>
      <c r="F748" s="67" t="s">
        <v>71</v>
      </c>
      <c r="G748" s="67" t="s">
        <v>44</v>
      </c>
      <c r="H748" s="67" t="s">
        <v>95</v>
      </c>
      <c r="I748" s="71">
        <v>5</v>
      </c>
      <c r="J748" s="72">
        <v>690</v>
      </c>
      <c r="K748" s="73">
        <v>0.05</v>
      </c>
      <c r="L748" s="72">
        <v>380</v>
      </c>
      <c r="M748" s="68">
        <f t="shared" si="57"/>
        <v>3277.5</v>
      </c>
      <c r="N748" s="68">
        <f t="shared" si="58"/>
        <v>1900</v>
      </c>
      <c r="O748" s="68">
        <f t="shared" si="59"/>
        <v>1377.5</v>
      </c>
    </row>
    <row r="749" spans="1:15" x14ac:dyDescent="0.3">
      <c r="A749" s="67" t="s">
        <v>843</v>
      </c>
      <c r="B749" s="70">
        <v>45880</v>
      </c>
      <c r="C749" s="67">
        <f t="shared" si="55"/>
        <v>2025</v>
      </c>
      <c r="D749" s="67" t="str">
        <f t="shared" si="56"/>
        <v>08 Aug</v>
      </c>
      <c r="E749" s="67" t="s">
        <v>42</v>
      </c>
      <c r="F749" s="67" t="s">
        <v>71</v>
      </c>
      <c r="G749" s="67" t="s">
        <v>44</v>
      </c>
      <c r="H749" s="67" t="s">
        <v>89</v>
      </c>
      <c r="I749" s="71">
        <v>18</v>
      </c>
      <c r="J749" s="72">
        <v>700</v>
      </c>
      <c r="K749" s="73">
        <v>0</v>
      </c>
      <c r="L749" s="72">
        <v>380</v>
      </c>
      <c r="M749" s="68">
        <f t="shared" si="57"/>
        <v>12600</v>
      </c>
      <c r="N749" s="68">
        <f t="shared" si="58"/>
        <v>6840</v>
      </c>
      <c r="O749" s="68">
        <f t="shared" si="59"/>
        <v>5760</v>
      </c>
    </row>
    <row r="750" spans="1:15" x14ac:dyDescent="0.3">
      <c r="A750" s="67" t="s">
        <v>844</v>
      </c>
      <c r="B750" s="70">
        <v>45882</v>
      </c>
      <c r="C750" s="67">
        <f t="shared" si="55"/>
        <v>2025</v>
      </c>
      <c r="D750" s="67" t="str">
        <f t="shared" si="56"/>
        <v>08 Aug</v>
      </c>
      <c r="E750" s="67" t="s">
        <v>36</v>
      </c>
      <c r="F750" s="67" t="s">
        <v>66</v>
      </c>
      <c r="G750" s="67" t="s">
        <v>53</v>
      </c>
      <c r="H750" s="67" t="s">
        <v>91</v>
      </c>
      <c r="I750" s="71">
        <v>2</v>
      </c>
      <c r="J750" s="72">
        <v>11480</v>
      </c>
      <c r="K750" s="73">
        <v>0.05</v>
      </c>
      <c r="L750" s="72">
        <v>8000</v>
      </c>
      <c r="M750" s="68">
        <f t="shared" si="57"/>
        <v>21812</v>
      </c>
      <c r="N750" s="68">
        <f t="shared" si="58"/>
        <v>16000</v>
      </c>
      <c r="O750" s="68">
        <f t="shared" si="59"/>
        <v>5812</v>
      </c>
    </row>
    <row r="751" spans="1:15" x14ac:dyDescent="0.3">
      <c r="A751" s="67" t="s">
        <v>845</v>
      </c>
      <c r="B751" s="70">
        <v>45884</v>
      </c>
      <c r="C751" s="67">
        <f t="shared" si="55"/>
        <v>2025</v>
      </c>
      <c r="D751" s="67" t="str">
        <f t="shared" si="56"/>
        <v>08 Aug</v>
      </c>
      <c r="E751" s="67" t="s">
        <v>42</v>
      </c>
      <c r="F751" s="67" t="s">
        <v>69</v>
      </c>
      <c r="G751" s="67" t="s">
        <v>50</v>
      </c>
      <c r="H751" s="67" t="s">
        <v>89</v>
      </c>
      <c r="I751" s="71">
        <v>2</v>
      </c>
      <c r="J751" s="72">
        <v>56750</v>
      </c>
      <c r="K751" s="73">
        <v>0</v>
      </c>
      <c r="L751" s="72">
        <v>42000</v>
      </c>
      <c r="M751" s="68">
        <f t="shared" si="57"/>
        <v>113500</v>
      </c>
      <c r="N751" s="68">
        <f t="shared" si="58"/>
        <v>84000</v>
      </c>
      <c r="O751" s="68">
        <f t="shared" si="59"/>
        <v>29500</v>
      </c>
    </row>
    <row r="752" spans="1:15" x14ac:dyDescent="0.3">
      <c r="A752" s="67" t="s">
        <v>846</v>
      </c>
      <c r="B752" s="70">
        <v>45884</v>
      </c>
      <c r="C752" s="67">
        <f t="shared" si="55"/>
        <v>2025</v>
      </c>
      <c r="D752" s="67" t="str">
        <f t="shared" si="56"/>
        <v>08 Aug</v>
      </c>
      <c r="E752" s="67" t="s">
        <v>45</v>
      </c>
      <c r="F752" s="67" t="s">
        <v>66</v>
      </c>
      <c r="G752" s="67" t="s">
        <v>53</v>
      </c>
      <c r="H752" s="67" t="s">
        <v>93</v>
      </c>
      <c r="I752" s="71">
        <v>3</v>
      </c>
      <c r="J752" s="72">
        <v>10660</v>
      </c>
      <c r="K752" s="73">
        <v>0.05</v>
      </c>
      <c r="L752" s="72">
        <v>8000</v>
      </c>
      <c r="M752" s="68">
        <f t="shared" si="57"/>
        <v>30381</v>
      </c>
      <c r="N752" s="68">
        <f t="shared" si="58"/>
        <v>24000</v>
      </c>
      <c r="O752" s="68">
        <f t="shared" si="59"/>
        <v>6381</v>
      </c>
    </row>
    <row r="753" spans="1:15" x14ac:dyDescent="0.3">
      <c r="A753" s="67" t="s">
        <v>847</v>
      </c>
      <c r="B753" s="70">
        <v>45885</v>
      </c>
      <c r="C753" s="67">
        <f t="shared" si="55"/>
        <v>2025</v>
      </c>
      <c r="D753" s="67" t="str">
        <f t="shared" si="56"/>
        <v>08 Aug</v>
      </c>
      <c r="E753" s="67" t="s">
        <v>45</v>
      </c>
      <c r="F753" s="67" t="s">
        <v>69</v>
      </c>
      <c r="G753" s="67" t="s">
        <v>60</v>
      </c>
      <c r="H753" s="67" t="s">
        <v>93</v>
      </c>
      <c r="I753" s="71">
        <v>3</v>
      </c>
      <c r="J753" s="72">
        <v>24120</v>
      </c>
      <c r="K753" s="73">
        <v>0.15</v>
      </c>
      <c r="L753" s="72">
        <v>18000</v>
      </c>
      <c r="M753" s="68">
        <f t="shared" si="57"/>
        <v>61506</v>
      </c>
      <c r="N753" s="68">
        <f t="shared" si="58"/>
        <v>54000</v>
      </c>
      <c r="O753" s="68">
        <f t="shared" si="59"/>
        <v>7506</v>
      </c>
    </row>
    <row r="754" spans="1:15" x14ac:dyDescent="0.3">
      <c r="A754" s="67" t="s">
        <v>848</v>
      </c>
      <c r="B754" s="70">
        <v>45887</v>
      </c>
      <c r="C754" s="67">
        <f t="shared" si="55"/>
        <v>2025</v>
      </c>
      <c r="D754" s="67" t="str">
        <f t="shared" si="56"/>
        <v>08 Aug</v>
      </c>
      <c r="E754" s="67" t="s">
        <v>45</v>
      </c>
      <c r="F754" s="67" t="s">
        <v>66</v>
      </c>
      <c r="G754" s="67" t="s">
        <v>53</v>
      </c>
      <c r="H754" s="67" t="s">
        <v>93</v>
      </c>
      <c r="I754" s="71">
        <v>3</v>
      </c>
      <c r="J754" s="72">
        <v>10640</v>
      </c>
      <c r="K754" s="73">
        <v>0</v>
      </c>
      <c r="L754" s="72">
        <v>8000</v>
      </c>
      <c r="M754" s="68">
        <f t="shared" si="57"/>
        <v>31920</v>
      </c>
      <c r="N754" s="68">
        <f t="shared" si="58"/>
        <v>24000</v>
      </c>
      <c r="O754" s="68">
        <f t="shared" si="59"/>
        <v>7920</v>
      </c>
    </row>
    <row r="755" spans="1:15" x14ac:dyDescent="0.3">
      <c r="A755" s="67" t="s">
        <v>849</v>
      </c>
      <c r="B755" s="70">
        <v>45889</v>
      </c>
      <c r="C755" s="67">
        <f t="shared" si="55"/>
        <v>2025</v>
      </c>
      <c r="D755" s="67" t="str">
        <f t="shared" si="56"/>
        <v>08 Aug</v>
      </c>
      <c r="E755" s="67" t="s">
        <v>36</v>
      </c>
      <c r="F755" s="67" t="s">
        <v>66</v>
      </c>
      <c r="G755" s="67" t="s">
        <v>38</v>
      </c>
      <c r="H755" s="67" t="s">
        <v>114</v>
      </c>
      <c r="I755" s="71">
        <v>3</v>
      </c>
      <c r="J755" s="72">
        <v>13660</v>
      </c>
      <c r="K755" s="73">
        <v>0</v>
      </c>
      <c r="L755" s="72">
        <v>9500</v>
      </c>
      <c r="M755" s="68">
        <f t="shared" si="57"/>
        <v>40980</v>
      </c>
      <c r="N755" s="68">
        <f t="shared" si="58"/>
        <v>28500</v>
      </c>
      <c r="O755" s="68">
        <f t="shared" si="59"/>
        <v>12480</v>
      </c>
    </row>
    <row r="756" spans="1:15" x14ac:dyDescent="0.3">
      <c r="A756" s="67" t="s">
        <v>850</v>
      </c>
      <c r="B756" s="70">
        <v>45891</v>
      </c>
      <c r="C756" s="67">
        <f t="shared" si="55"/>
        <v>2025</v>
      </c>
      <c r="D756" s="67" t="str">
        <f t="shared" si="56"/>
        <v>08 Aug</v>
      </c>
      <c r="E756" s="67" t="s">
        <v>36</v>
      </c>
      <c r="F756" s="67" t="s">
        <v>71</v>
      </c>
      <c r="G756" s="67" t="s">
        <v>47</v>
      </c>
      <c r="H756" s="67" t="s">
        <v>91</v>
      </c>
      <c r="I756" s="71">
        <v>11</v>
      </c>
      <c r="J756" s="72">
        <v>290</v>
      </c>
      <c r="K756" s="73">
        <v>0</v>
      </c>
      <c r="L756" s="72">
        <v>160</v>
      </c>
      <c r="M756" s="68">
        <f t="shared" si="57"/>
        <v>3190</v>
      </c>
      <c r="N756" s="68">
        <f t="shared" si="58"/>
        <v>1760</v>
      </c>
      <c r="O756" s="68">
        <f t="shared" si="59"/>
        <v>1430</v>
      </c>
    </row>
    <row r="757" spans="1:15" x14ac:dyDescent="0.3">
      <c r="A757" s="67" t="s">
        <v>851</v>
      </c>
      <c r="B757" s="70">
        <v>45893</v>
      </c>
      <c r="C757" s="67">
        <f t="shared" si="55"/>
        <v>2025</v>
      </c>
      <c r="D757" s="67" t="str">
        <f t="shared" si="56"/>
        <v>08 Aug</v>
      </c>
      <c r="E757" s="67" t="s">
        <v>39</v>
      </c>
      <c r="F757" s="67" t="s">
        <v>69</v>
      </c>
      <c r="G757" s="67" t="s">
        <v>60</v>
      </c>
      <c r="H757" s="67" t="s">
        <v>100</v>
      </c>
      <c r="I757" s="71">
        <v>1</v>
      </c>
      <c r="J757" s="72">
        <v>24470</v>
      </c>
      <c r="K757" s="73">
        <v>0</v>
      </c>
      <c r="L757" s="72">
        <v>18000</v>
      </c>
      <c r="M757" s="68">
        <f t="shared" si="57"/>
        <v>24470</v>
      </c>
      <c r="N757" s="68">
        <f t="shared" si="58"/>
        <v>18000</v>
      </c>
      <c r="O757" s="68">
        <f t="shared" si="59"/>
        <v>6470</v>
      </c>
    </row>
    <row r="758" spans="1:15" x14ac:dyDescent="0.3">
      <c r="A758" s="67" t="s">
        <v>852</v>
      </c>
      <c r="B758" s="70">
        <v>45893</v>
      </c>
      <c r="C758" s="67">
        <f t="shared" si="55"/>
        <v>2025</v>
      </c>
      <c r="D758" s="67" t="str">
        <f t="shared" si="56"/>
        <v>08 Aug</v>
      </c>
      <c r="E758" s="67" t="s">
        <v>42</v>
      </c>
      <c r="F758" s="67" t="s">
        <v>69</v>
      </c>
      <c r="G758" s="67" t="s">
        <v>60</v>
      </c>
      <c r="H758" s="67" t="s">
        <v>89</v>
      </c>
      <c r="I758" s="71">
        <v>3</v>
      </c>
      <c r="J758" s="72">
        <v>23500</v>
      </c>
      <c r="K758" s="73">
        <v>0.1</v>
      </c>
      <c r="L758" s="72">
        <v>18000</v>
      </c>
      <c r="M758" s="68">
        <f t="shared" si="57"/>
        <v>63450</v>
      </c>
      <c r="N758" s="68">
        <f t="shared" si="58"/>
        <v>54000</v>
      </c>
      <c r="O758" s="68">
        <f t="shared" si="59"/>
        <v>9450</v>
      </c>
    </row>
    <row r="759" spans="1:15" x14ac:dyDescent="0.3">
      <c r="A759" s="67" t="s">
        <v>853</v>
      </c>
      <c r="B759" s="70">
        <v>45894</v>
      </c>
      <c r="C759" s="67">
        <f t="shared" si="55"/>
        <v>2025</v>
      </c>
      <c r="D759" s="67" t="str">
        <f t="shared" si="56"/>
        <v>08 Aug</v>
      </c>
      <c r="E759" s="67" t="s">
        <v>42</v>
      </c>
      <c r="F759" s="67" t="s">
        <v>71</v>
      </c>
      <c r="G759" s="67" t="s">
        <v>55</v>
      </c>
      <c r="H759" s="67" t="s">
        <v>89</v>
      </c>
      <c r="I759" s="71">
        <v>18</v>
      </c>
      <c r="J759" s="72">
        <v>450</v>
      </c>
      <c r="K759" s="73">
        <v>0.05</v>
      </c>
      <c r="L759" s="72">
        <v>250</v>
      </c>
      <c r="M759" s="68">
        <f t="shared" si="57"/>
        <v>7695</v>
      </c>
      <c r="N759" s="68">
        <f t="shared" si="58"/>
        <v>4500</v>
      </c>
      <c r="O759" s="68">
        <f t="shared" si="59"/>
        <v>3195</v>
      </c>
    </row>
    <row r="760" spans="1:15" x14ac:dyDescent="0.3">
      <c r="A760" s="67" t="s">
        <v>854</v>
      </c>
      <c r="B760" s="70">
        <v>45894</v>
      </c>
      <c r="C760" s="67">
        <f t="shared" si="55"/>
        <v>2025</v>
      </c>
      <c r="D760" s="67" t="str">
        <f t="shared" si="56"/>
        <v>08 Aug</v>
      </c>
      <c r="E760" s="67" t="s">
        <v>48</v>
      </c>
      <c r="F760" s="67" t="s">
        <v>70</v>
      </c>
      <c r="G760" s="67" t="s">
        <v>41</v>
      </c>
      <c r="H760" s="67" t="s">
        <v>98</v>
      </c>
      <c r="I760" s="71">
        <v>1</v>
      </c>
      <c r="J760" s="72">
        <v>6600</v>
      </c>
      <c r="K760" s="73">
        <v>0</v>
      </c>
      <c r="L760" s="72">
        <v>4200</v>
      </c>
      <c r="M760" s="68">
        <f t="shared" si="57"/>
        <v>6600</v>
      </c>
      <c r="N760" s="68">
        <f t="shared" si="58"/>
        <v>4200</v>
      </c>
      <c r="O760" s="68">
        <f t="shared" si="59"/>
        <v>2400</v>
      </c>
    </row>
    <row r="761" spans="1:15" x14ac:dyDescent="0.3">
      <c r="A761" s="67" t="s">
        <v>855</v>
      </c>
      <c r="B761" s="70">
        <v>45897</v>
      </c>
      <c r="C761" s="67">
        <f t="shared" si="55"/>
        <v>2025</v>
      </c>
      <c r="D761" s="67" t="str">
        <f t="shared" si="56"/>
        <v>08 Aug</v>
      </c>
      <c r="E761" s="67" t="s">
        <v>39</v>
      </c>
      <c r="F761" s="67" t="s">
        <v>66</v>
      </c>
      <c r="G761" s="67" t="s">
        <v>65</v>
      </c>
      <c r="H761" s="67" t="s">
        <v>107</v>
      </c>
      <c r="I761" s="71">
        <v>1</v>
      </c>
      <c r="J761" s="72">
        <v>13150</v>
      </c>
      <c r="K761" s="73">
        <v>0.05</v>
      </c>
      <c r="L761" s="72">
        <v>9000</v>
      </c>
      <c r="M761" s="68">
        <f t="shared" si="57"/>
        <v>12492.5</v>
      </c>
      <c r="N761" s="68">
        <f t="shared" si="58"/>
        <v>9000</v>
      </c>
      <c r="O761" s="68">
        <f t="shared" si="59"/>
        <v>3492.5</v>
      </c>
    </row>
    <row r="762" spans="1:15" x14ac:dyDescent="0.3">
      <c r="A762" s="67" t="s">
        <v>856</v>
      </c>
      <c r="B762" s="70">
        <v>45901</v>
      </c>
      <c r="C762" s="67">
        <f t="shared" si="55"/>
        <v>2025</v>
      </c>
      <c r="D762" s="67" t="str">
        <f t="shared" si="56"/>
        <v>09 Sep</v>
      </c>
      <c r="E762" s="67" t="s">
        <v>42</v>
      </c>
      <c r="F762" s="67" t="s">
        <v>66</v>
      </c>
      <c r="G762" s="67" t="s">
        <v>38</v>
      </c>
      <c r="H762" s="67" t="s">
        <v>112</v>
      </c>
      <c r="I762" s="71">
        <v>3</v>
      </c>
      <c r="J762" s="72">
        <v>13750</v>
      </c>
      <c r="K762" s="73">
        <v>0.1</v>
      </c>
      <c r="L762" s="72">
        <v>9500</v>
      </c>
      <c r="M762" s="68">
        <f t="shared" si="57"/>
        <v>37125</v>
      </c>
      <c r="N762" s="68">
        <f t="shared" si="58"/>
        <v>28500</v>
      </c>
      <c r="O762" s="68">
        <f t="shared" si="59"/>
        <v>8625</v>
      </c>
    </row>
    <row r="763" spans="1:15" x14ac:dyDescent="0.3">
      <c r="A763" s="67" t="s">
        <v>857</v>
      </c>
      <c r="B763" s="70">
        <v>45903</v>
      </c>
      <c r="C763" s="67">
        <f t="shared" si="55"/>
        <v>2025</v>
      </c>
      <c r="D763" s="67" t="str">
        <f t="shared" si="56"/>
        <v>09 Sep</v>
      </c>
      <c r="E763" s="67" t="s">
        <v>36</v>
      </c>
      <c r="F763" s="67" t="s">
        <v>69</v>
      </c>
      <c r="G763" s="67" t="s">
        <v>50</v>
      </c>
      <c r="H763" s="67" t="s">
        <v>91</v>
      </c>
      <c r="I763" s="71">
        <v>1</v>
      </c>
      <c r="J763" s="72">
        <v>54950</v>
      </c>
      <c r="K763" s="73">
        <v>0.15</v>
      </c>
      <c r="L763" s="72">
        <v>42000</v>
      </c>
      <c r="M763" s="68">
        <f t="shared" si="57"/>
        <v>46707.5</v>
      </c>
      <c r="N763" s="68">
        <f t="shared" si="58"/>
        <v>42000</v>
      </c>
      <c r="O763" s="68">
        <f t="shared" si="59"/>
        <v>4707.5</v>
      </c>
    </row>
    <row r="764" spans="1:15" x14ac:dyDescent="0.3">
      <c r="A764" s="67" t="s">
        <v>858</v>
      </c>
      <c r="B764" s="70">
        <v>45904</v>
      </c>
      <c r="C764" s="67">
        <f t="shared" si="55"/>
        <v>2025</v>
      </c>
      <c r="D764" s="67" t="str">
        <f t="shared" si="56"/>
        <v>09 Sep</v>
      </c>
      <c r="E764" s="67" t="s">
        <v>48</v>
      </c>
      <c r="F764" s="67" t="s">
        <v>71</v>
      </c>
      <c r="G764" s="67" t="s">
        <v>47</v>
      </c>
      <c r="H764" s="67" t="s">
        <v>95</v>
      </c>
      <c r="I764" s="71">
        <v>48</v>
      </c>
      <c r="J764" s="72">
        <v>310</v>
      </c>
      <c r="K764" s="73">
        <v>0.05</v>
      </c>
      <c r="L764" s="72">
        <v>160</v>
      </c>
      <c r="M764" s="68">
        <f t="shared" si="57"/>
        <v>14136</v>
      </c>
      <c r="N764" s="68">
        <f t="shared" si="58"/>
        <v>7680</v>
      </c>
      <c r="O764" s="68">
        <f t="shared" si="59"/>
        <v>6456</v>
      </c>
    </row>
    <row r="765" spans="1:15" x14ac:dyDescent="0.3">
      <c r="A765" s="67" t="s">
        <v>859</v>
      </c>
      <c r="B765" s="70">
        <v>45905</v>
      </c>
      <c r="C765" s="67">
        <f t="shared" si="55"/>
        <v>2025</v>
      </c>
      <c r="D765" s="67" t="str">
        <f t="shared" si="56"/>
        <v>09 Sep</v>
      </c>
      <c r="E765" s="67" t="s">
        <v>45</v>
      </c>
      <c r="F765" s="67" t="s">
        <v>66</v>
      </c>
      <c r="G765" s="67" t="s">
        <v>53</v>
      </c>
      <c r="H765" s="67" t="s">
        <v>93</v>
      </c>
      <c r="I765" s="71">
        <v>2</v>
      </c>
      <c r="J765" s="72">
        <v>10470</v>
      </c>
      <c r="K765" s="73">
        <v>0</v>
      </c>
      <c r="L765" s="72">
        <v>8000</v>
      </c>
      <c r="M765" s="68">
        <f t="shared" si="57"/>
        <v>20940</v>
      </c>
      <c r="N765" s="68">
        <f t="shared" si="58"/>
        <v>16000</v>
      </c>
      <c r="O765" s="68">
        <f t="shared" si="59"/>
        <v>4940</v>
      </c>
    </row>
    <row r="766" spans="1:15" x14ac:dyDescent="0.3">
      <c r="A766" s="67" t="s">
        <v>860</v>
      </c>
      <c r="B766" s="70">
        <v>45906</v>
      </c>
      <c r="C766" s="67">
        <f t="shared" si="55"/>
        <v>2025</v>
      </c>
      <c r="D766" s="67" t="str">
        <f t="shared" si="56"/>
        <v>09 Sep</v>
      </c>
      <c r="E766" s="67" t="s">
        <v>42</v>
      </c>
      <c r="F766" s="67" t="s">
        <v>69</v>
      </c>
      <c r="G766" s="67" t="s">
        <v>50</v>
      </c>
      <c r="H766" s="67" t="s">
        <v>89</v>
      </c>
      <c r="I766" s="71">
        <v>2</v>
      </c>
      <c r="J766" s="72">
        <v>55820</v>
      </c>
      <c r="K766" s="73">
        <v>0.05</v>
      </c>
      <c r="L766" s="72">
        <v>42000</v>
      </c>
      <c r="M766" s="68">
        <f t="shared" si="57"/>
        <v>106058</v>
      </c>
      <c r="N766" s="68">
        <f t="shared" si="58"/>
        <v>84000</v>
      </c>
      <c r="O766" s="68">
        <f t="shared" si="59"/>
        <v>22058</v>
      </c>
    </row>
    <row r="767" spans="1:15" x14ac:dyDescent="0.3">
      <c r="A767" s="67" t="s">
        <v>861</v>
      </c>
      <c r="B767" s="70">
        <v>45906</v>
      </c>
      <c r="C767" s="67">
        <f t="shared" si="55"/>
        <v>2025</v>
      </c>
      <c r="D767" s="67" t="str">
        <f t="shared" si="56"/>
        <v>09 Sep</v>
      </c>
      <c r="E767" s="67" t="s">
        <v>48</v>
      </c>
      <c r="F767" s="67" t="s">
        <v>69</v>
      </c>
      <c r="G767" s="67" t="s">
        <v>50</v>
      </c>
      <c r="H767" s="67" t="s">
        <v>98</v>
      </c>
      <c r="I767" s="71">
        <v>1</v>
      </c>
      <c r="J767" s="72">
        <v>54740</v>
      </c>
      <c r="K767" s="73">
        <v>0</v>
      </c>
      <c r="L767" s="72">
        <v>42000</v>
      </c>
      <c r="M767" s="68">
        <f t="shared" si="57"/>
        <v>54740</v>
      </c>
      <c r="N767" s="68">
        <f t="shared" si="58"/>
        <v>42000</v>
      </c>
      <c r="O767" s="68">
        <f t="shared" si="59"/>
        <v>12740</v>
      </c>
    </row>
    <row r="768" spans="1:15" x14ac:dyDescent="0.3">
      <c r="A768" s="67" t="s">
        <v>862</v>
      </c>
      <c r="B768" s="70">
        <v>45908</v>
      </c>
      <c r="C768" s="67">
        <f t="shared" si="55"/>
        <v>2025</v>
      </c>
      <c r="D768" s="67" t="str">
        <f t="shared" si="56"/>
        <v>09 Sep</v>
      </c>
      <c r="E768" s="67" t="s">
        <v>45</v>
      </c>
      <c r="F768" s="67" t="s">
        <v>66</v>
      </c>
      <c r="G768" s="67" t="s">
        <v>65</v>
      </c>
      <c r="H768" s="67" t="s">
        <v>87</v>
      </c>
      <c r="I768" s="71">
        <v>3</v>
      </c>
      <c r="J768" s="72">
        <v>13330</v>
      </c>
      <c r="K768" s="73">
        <v>0.05</v>
      </c>
      <c r="L768" s="72">
        <v>9000</v>
      </c>
      <c r="M768" s="68">
        <f t="shared" si="57"/>
        <v>37990.5</v>
      </c>
      <c r="N768" s="68">
        <f t="shared" si="58"/>
        <v>27000</v>
      </c>
      <c r="O768" s="68">
        <f t="shared" si="59"/>
        <v>10990.5</v>
      </c>
    </row>
    <row r="769" spans="1:15" x14ac:dyDescent="0.3">
      <c r="A769" s="67" t="s">
        <v>863</v>
      </c>
      <c r="B769" s="70">
        <v>45909</v>
      </c>
      <c r="C769" s="67">
        <f t="shared" si="55"/>
        <v>2025</v>
      </c>
      <c r="D769" s="67" t="str">
        <f t="shared" si="56"/>
        <v>09 Sep</v>
      </c>
      <c r="E769" s="67" t="s">
        <v>45</v>
      </c>
      <c r="F769" s="67" t="s">
        <v>66</v>
      </c>
      <c r="G769" s="67" t="s">
        <v>53</v>
      </c>
      <c r="H769" s="67" t="s">
        <v>93</v>
      </c>
      <c r="I769" s="71">
        <v>2</v>
      </c>
      <c r="J769" s="72">
        <v>10650</v>
      </c>
      <c r="K769" s="73">
        <v>0.15</v>
      </c>
      <c r="L769" s="72">
        <v>8000</v>
      </c>
      <c r="M769" s="68">
        <f t="shared" si="57"/>
        <v>18105</v>
      </c>
      <c r="N769" s="68">
        <f t="shared" si="58"/>
        <v>16000</v>
      </c>
      <c r="O769" s="68">
        <f t="shared" si="59"/>
        <v>2105</v>
      </c>
    </row>
    <row r="770" spans="1:15" x14ac:dyDescent="0.3">
      <c r="A770" s="67" t="s">
        <v>864</v>
      </c>
      <c r="B770" s="70">
        <v>45915</v>
      </c>
      <c r="C770" s="67">
        <f t="shared" ref="C770:C833" si="60">YEAR(B770)</f>
        <v>2025</v>
      </c>
      <c r="D770" s="67" t="str">
        <f t="shared" ref="D770:D833" si="61">CHOOSE(MONTH(B770),"01 Jan","02 Feb","03 Mar","04 Apr","05 May","06 Jun","07 Jul","08 Aug","09 Sep","10 Oct","11 Nov","12 Dec")</f>
        <v>09 Sep</v>
      </c>
      <c r="E770" s="67" t="s">
        <v>48</v>
      </c>
      <c r="F770" s="67" t="s">
        <v>71</v>
      </c>
      <c r="G770" s="67" t="s">
        <v>55</v>
      </c>
      <c r="H770" s="67" t="s">
        <v>98</v>
      </c>
      <c r="I770" s="71">
        <v>35</v>
      </c>
      <c r="J770" s="72">
        <v>440</v>
      </c>
      <c r="K770" s="73">
        <v>0.1</v>
      </c>
      <c r="L770" s="72">
        <v>250</v>
      </c>
      <c r="M770" s="68">
        <f t="shared" ref="M770:M833" si="62">I770*J770*(1-K770)</f>
        <v>13860</v>
      </c>
      <c r="N770" s="68">
        <f t="shared" ref="N770:N833" si="63">I770*L770</f>
        <v>8750</v>
      </c>
      <c r="O770" s="68">
        <f t="shared" ref="O770:O833" si="64">M770-N770</f>
        <v>5110</v>
      </c>
    </row>
    <row r="771" spans="1:15" x14ac:dyDescent="0.3">
      <c r="A771" s="67" t="s">
        <v>865</v>
      </c>
      <c r="B771" s="70">
        <v>45915</v>
      </c>
      <c r="C771" s="67">
        <f t="shared" si="60"/>
        <v>2025</v>
      </c>
      <c r="D771" s="67" t="str">
        <f t="shared" si="61"/>
        <v>09 Sep</v>
      </c>
      <c r="E771" s="67" t="s">
        <v>42</v>
      </c>
      <c r="F771" s="67" t="s">
        <v>70</v>
      </c>
      <c r="G771" s="67" t="s">
        <v>62</v>
      </c>
      <c r="H771" s="67" t="s">
        <v>112</v>
      </c>
      <c r="I771" s="71">
        <v>3</v>
      </c>
      <c r="J771" s="72">
        <v>17210</v>
      </c>
      <c r="K771" s="73">
        <v>0.05</v>
      </c>
      <c r="L771" s="72">
        <v>12500</v>
      </c>
      <c r="M771" s="68">
        <f t="shared" si="62"/>
        <v>49048.5</v>
      </c>
      <c r="N771" s="68">
        <f t="shared" si="63"/>
        <v>37500</v>
      </c>
      <c r="O771" s="68">
        <f t="shared" si="64"/>
        <v>11548.5</v>
      </c>
    </row>
    <row r="772" spans="1:15" x14ac:dyDescent="0.3">
      <c r="A772" s="67" t="s">
        <v>866</v>
      </c>
      <c r="B772" s="70">
        <v>45915</v>
      </c>
      <c r="C772" s="67">
        <f t="shared" si="60"/>
        <v>2025</v>
      </c>
      <c r="D772" s="67" t="str">
        <f t="shared" si="61"/>
        <v>09 Sep</v>
      </c>
      <c r="E772" s="67" t="s">
        <v>48</v>
      </c>
      <c r="F772" s="67" t="s">
        <v>69</v>
      </c>
      <c r="G772" s="67" t="s">
        <v>50</v>
      </c>
      <c r="H772" s="67" t="s">
        <v>98</v>
      </c>
      <c r="I772" s="71">
        <v>2</v>
      </c>
      <c r="J772" s="72">
        <v>57630</v>
      </c>
      <c r="K772" s="73">
        <v>0</v>
      </c>
      <c r="L772" s="72">
        <v>42000</v>
      </c>
      <c r="M772" s="68">
        <f t="shared" si="62"/>
        <v>115260</v>
      </c>
      <c r="N772" s="68">
        <f t="shared" si="63"/>
        <v>84000</v>
      </c>
      <c r="O772" s="68">
        <f t="shared" si="64"/>
        <v>31260</v>
      </c>
    </row>
    <row r="773" spans="1:15" x14ac:dyDescent="0.3">
      <c r="A773" s="67" t="s">
        <v>867</v>
      </c>
      <c r="B773" s="70">
        <v>45918</v>
      </c>
      <c r="C773" s="67">
        <f t="shared" si="60"/>
        <v>2025</v>
      </c>
      <c r="D773" s="67" t="str">
        <f t="shared" si="61"/>
        <v>09 Sep</v>
      </c>
      <c r="E773" s="67" t="s">
        <v>48</v>
      </c>
      <c r="F773" s="67" t="s">
        <v>71</v>
      </c>
      <c r="G773" s="67" t="s">
        <v>44</v>
      </c>
      <c r="H773" s="67" t="s">
        <v>95</v>
      </c>
      <c r="I773" s="71">
        <v>14</v>
      </c>
      <c r="J773" s="72">
        <v>690</v>
      </c>
      <c r="K773" s="73">
        <v>0</v>
      </c>
      <c r="L773" s="72">
        <v>380</v>
      </c>
      <c r="M773" s="68">
        <f t="shared" si="62"/>
        <v>9660</v>
      </c>
      <c r="N773" s="68">
        <f t="shared" si="63"/>
        <v>5320</v>
      </c>
      <c r="O773" s="68">
        <f t="shared" si="64"/>
        <v>4340</v>
      </c>
    </row>
    <row r="774" spans="1:15" x14ac:dyDescent="0.3">
      <c r="A774" s="67" t="s">
        <v>868</v>
      </c>
      <c r="B774" s="70">
        <v>45918</v>
      </c>
      <c r="C774" s="67">
        <f t="shared" si="60"/>
        <v>2025</v>
      </c>
      <c r="D774" s="67" t="str">
        <f t="shared" si="61"/>
        <v>09 Sep</v>
      </c>
      <c r="E774" s="67" t="s">
        <v>45</v>
      </c>
      <c r="F774" s="67" t="s">
        <v>71</v>
      </c>
      <c r="G774" s="67" t="s">
        <v>55</v>
      </c>
      <c r="H774" s="67" t="s">
        <v>93</v>
      </c>
      <c r="I774" s="71">
        <v>19</v>
      </c>
      <c r="J774" s="72">
        <v>430</v>
      </c>
      <c r="K774" s="73">
        <v>0.05</v>
      </c>
      <c r="L774" s="72">
        <v>250</v>
      </c>
      <c r="M774" s="68">
        <f t="shared" si="62"/>
        <v>7761.5</v>
      </c>
      <c r="N774" s="68">
        <f t="shared" si="63"/>
        <v>4750</v>
      </c>
      <c r="O774" s="68">
        <f t="shared" si="64"/>
        <v>3011.5</v>
      </c>
    </row>
    <row r="775" spans="1:15" x14ac:dyDescent="0.3">
      <c r="A775" s="67" t="s">
        <v>869</v>
      </c>
      <c r="B775" s="70">
        <v>45918</v>
      </c>
      <c r="C775" s="67">
        <f t="shared" si="60"/>
        <v>2025</v>
      </c>
      <c r="D775" s="67" t="str">
        <f t="shared" si="61"/>
        <v>09 Sep</v>
      </c>
      <c r="E775" s="67" t="s">
        <v>36</v>
      </c>
      <c r="F775" s="67" t="s">
        <v>71</v>
      </c>
      <c r="G775" s="67" t="s">
        <v>44</v>
      </c>
      <c r="H775" s="67" t="s">
        <v>114</v>
      </c>
      <c r="I775" s="71">
        <v>16</v>
      </c>
      <c r="J775" s="72">
        <v>720</v>
      </c>
      <c r="K775" s="73">
        <v>0</v>
      </c>
      <c r="L775" s="72">
        <v>380</v>
      </c>
      <c r="M775" s="68">
        <f t="shared" si="62"/>
        <v>11520</v>
      </c>
      <c r="N775" s="68">
        <f t="shared" si="63"/>
        <v>6080</v>
      </c>
      <c r="O775" s="68">
        <f t="shared" si="64"/>
        <v>5440</v>
      </c>
    </row>
    <row r="776" spans="1:15" x14ac:dyDescent="0.3">
      <c r="A776" s="67" t="s">
        <v>870</v>
      </c>
      <c r="B776" s="70">
        <v>45918</v>
      </c>
      <c r="C776" s="67">
        <f t="shared" si="60"/>
        <v>2025</v>
      </c>
      <c r="D776" s="67" t="str">
        <f t="shared" si="61"/>
        <v>09 Sep</v>
      </c>
      <c r="E776" s="67" t="s">
        <v>45</v>
      </c>
      <c r="F776" s="67" t="s">
        <v>70</v>
      </c>
      <c r="G776" s="67" t="s">
        <v>58</v>
      </c>
      <c r="H776" s="67" t="s">
        <v>87</v>
      </c>
      <c r="I776" s="71">
        <v>4</v>
      </c>
      <c r="J776" s="72">
        <v>9080</v>
      </c>
      <c r="K776" s="73">
        <v>0.05</v>
      </c>
      <c r="L776" s="72">
        <v>6000</v>
      </c>
      <c r="M776" s="68">
        <f t="shared" si="62"/>
        <v>34504</v>
      </c>
      <c r="N776" s="68">
        <f t="shared" si="63"/>
        <v>24000</v>
      </c>
      <c r="O776" s="68">
        <f t="shared" si="64"/>
        <v>10504</v>
      </c>
    </row>
    <row r="777" spans="1:15" x14ac:dyDescent="0.3">
      <c r="A777" s="67" t="s">
        <v>871</v>
      </c>
      <c r="B777" s="70">
        <v>45918</v>
      </c>
      <c r="C777" s="67">
        <f t="shared" si="60"/>
        <v>2025</v>
      </c>
      <c r="D777" s="67" t="str">
        <f t="shared" si="61"/>
        <v>09 Sep</v>
      </c>
      <c r="E777" s="67" t="s">
        <v>48</v>
      </c>
      <c r="F777" s="67" t="s">
        <v>70</v>
      </c>
      <c r="G777" s="67" t="s">
        <v>58</v>
      </c>
      <c r="H777" s="67" t="s">
        <v>95</v>
      </c>
      <c r="I777" s="71">
        <v>2</v>
      </c>
      <c r="J777" s="72">
        <v>8950</v>
      </c>
      <c r="K777" s="73">
        <v>0</v>
      </c>
      <c r="L777" s="72">
        <v>6000</v>
      </c>
      <c r="M777" s="68">
        <f t="shared" si="62"/>
        <v>17900</v>
      </c>
      <c r="N777" s="68">
        <f t="shared" si="63"/>
        <v>12000</v>
      </c>
      <c r="O777" s="68">
        <f t="shared" si="64"/>
        <v>5900</v>
      </c>
    </row>
    <row r="778" spans="1:15" x14ac:dyDescent="0.3">
      <c r="A778" s="67" t="s">
        <v>872</v>
      </c>
      <c r="B778" s="70">
        <v>45919</v>
      </c>
      <c r="C778" s="67">
        <f t="shared" si="60"/>
        <v>2025</v>
      </c>
      <c r="D778" s="67" t="str">
        <f t="shared" si="61"/>
        <v>09 Sep</v>
      </c>
      <c r="E778" s="67" t="s">
        <v>36</v>
      </c>
      <c r="F778" s="67" t="s">
        <v>71</v>
      </c>
      <c r="G778" s="67" t="s">
        <v>47</v>
      </c>
      <c r="H778" s="67" t="s">
        <v>91</v>
      </c>
      <c r="I778" s="71">
        <v>45</v>
      </c>
      <c r="J778" s="72">
        <v>310</v>
      </c>
      <c r="K778" s="73">
        <v>0</v>
      </c>
      <c r="L778" s="72">
        <v>160</v>
      </c>
      <c r="M778" s="68">
        <f t="shared" si="62"/>
        <v>13950</v>
      </c>
      <c r="N778" s="68">
        <f t="shared" si="63"/>
        <v>7200</v>
      </c>
      <c r="O778" s="68">
        <f t="shared" si="64"/>
        <v>6750</v>
      </c>
    </row>
    <row r="779" spans="1:15" x14ac:dyDescent="0.3">
      <c r="A779" s="67" t="s">
        <v>873</v>
      </c>
      <c r="B779" s="70">
        <v>45920</v>
      </c>
      <c r="C779" s="67">
        <f t="shared" si="60"/>
        <v>2025</v>
      </c>
      <c r="D779" s="67" t="str">
        <f t="shared" si="61"/>
        <v>09 Sep</v>
      </c>
      <c r="E779" s="67" t="s">
        <v>42</v>
      </c>
      <c r="F779" s="67" t="s">
        <v>69</v>
      </c>
      <c r="G779" s="67" t="s">
        <v>68</v>
      </c>
      <c r="H779" s="67" t="s">
        <v>89</v>
      </c>
      <c r="I779" s="71">
        <v>2</v>
      </c>
      <c r="J779" s="72">
        <v>3490</v>
      </c>
      <c r="K779" s="73">
        <v>0.15</v>
      </c>
      <c r="L779" s="72">
        <v>2000</v>
      </c>
      <c r="M779" s="68">
        <f t="shared" si="62"/>
        <v>5933</v>
      </c>
      <c r="N779" s="68">
        <f t="shared" si="63"/>
        <v>4000</v>
      </c>
      <c r="O779" s="68">
        <f t="shared" si="64"/>
        <v>1933</v>
      </c>
    </row>
    <row r="780" spans="1:15" x14ac:dyDescent="0.3">
      <c r="A780" s="67" t="s">
        <v>874</v>
      </c>
      <c r="B780" s="70">
        <v>45921</v>
      </c>
      <c r="C780" s="67">
        <f t="shared" si="60"/>
        <v>2025</v>
      </c>
      <c r="D780" s="67" t="str">
        <f t="shared" si="61"/>
        <v>09 Sep</v>
      </c>
      <c r="E780" s="67" t="s">
        <v>45</v>
      </c>
      <c r="F780" s="67" t="s">
        <v>69</v>
      </c>
      <c r="G780" s="67" t="s">
        <v>68</v>
      </c>
      <c r="H780" s="67" t="s">
        <v>93</v>
      </c>
      <c r="I780" s="71">
        <v>4</v>
      </c>
      <c r="J780" s="72">
        <v>3670</v>
      </c>
      <c r="K780" s="73">
        <v>0.05</v>
      </c>
      <c r="L780" s="72">
        <v>2000</v>
      </c>
      <c r="M780" s="68">
        <f t="shared" si="62"/>
        <v>13946</v>
      </c>
      <c r="N780" s="68">
        <f t="shared" si="63"/>
        <v>8000</v>
      </c>
      <c r="O780" s="68">
        <f t="shared" si="64"/>
        <v>5946</v>
      </c>
    </row>
    <row r="781" spans="1:15" x14ac:dyDescent="0.3">
      <c r="A781" s="67" t="s">
        <v>875</v>
      </c>
      <c r="B781" s="70">
        <v>45922</v>
      </c>
      <c r="C781" s="67">
        <f t="shared" si="60"/>
        <v>2025</v>
      </c>
      <c r="D781" s="67" t="str">
        <f t="shared" si="61"/>
        <v>09 Sep</v>
      </c>
      <c r="E781" s="67" t="s">
        <v>45</v>
      </c>
      <c r="F781" s="67" t="s">
        <v>70</v>
      </c>
      <c r="G781" s="67" t="s">
        <v>58</v>
      </c>
      <c r="H781" s="67" t="s">
        <v>87</v>
      </c>
      <c r="I781" s="71">
        <v>5</v>
      </c>
      <c r="J781" s="72">
        <v>8600</v>
      </c>
      <c r="K781" s="73">
        <v>0</v>
      </c>
      <c r="L781" s="72">
        <v>6000</v>
      </c>
      <c r="M781" s="68">
        <f t="shared" si="62"/>
        <v>43000</v>
      </c>
      <c r="N781" s="68">
        <f t="shared" si="63"/>
        <v>30000</v>
      </c>
      <c r="O781" s="68">
        <f t="shared" si="64"/>
        <v>13000</v>
      </c>
    </row>
    <row r="782" spans="1:15" x14ac:dyDescent="0.3">
      <c r="A782" s="67" t="s">
        <v>876</v>
      </c>
      <c r="B782" s="70">
        <v>45922</v>
      </c>
      <c r="C782" s="67">
        <f t="shared" si="60"/>
        <v>2025</v>
      </c>
      <c r="D782" s="67" t="str">
        <f t="shared" si="61"/>
        <v>09 Sep</v>
      </c>
      <c r="E782" s="67" t="s">
        <v>42</v>
      </c>
      <c r="F782" s="67" t="s">
        <v>71</v>
      </c>
      <c r="G782" s="67" t="s">
        <v>55</v>
      </c>
      <c r="H782" s="67" t="s">
        <v>89</v>
      </c>
      <c r="I782" s="71">
        <v>9</v>
      </c>
      <c r="J782" s="72">
        <v>460</v>
      </c>
      <c r="K782" s="73">
        <v>0.1</v>
      </c>
      <c r="L782" s="72">
        <v>250</v>
      </c>
      <c r="M782" s="68">
        <f t="shared" si="62"/>
        <v>3726</v>
      </c>
      <c r="N782" s="68">
        <f t="shared" si="63"/>
        <v>2250</v>
      </c>
      <c r="O782" s="68">
        <f t="shared" si="64"/>
        <v>1476</v>
      </c>
    </row>
    <row r="783" spans="1:15" x14ac:dyDescent="0.3">
      <c r="A783" s="67" t="s">
        <v>877</v>
      </c>
      <c r="B783" s="70">
        <v>45924</v>
      </c>
      <c r="C783" s="67">
        <f t="shared" si="60"/>
        <v>2025</v>
      </c>
      <c r="D783" s="67" t="str">
        <f t="shared" si="61"/>
        <v>09 Sep</v>
      </c>
      <c r="E783" s="67" t="s">
        <v>42</v>
      </c>
      <c r="F783" s="67" t="s">
        <v>70</v>
      </c>
      <c r="G783" s="67" t="s">
        <v>58</v>
      </c>
      <c r="H783" s="67" t="s">
        <v>112</v>
      </c>
      <c r="I783" s="71">
        <v>4</v>
      </c>
      <c r="J783" s="72">
        <v>9010</v>
      </c>
      <c r="K783" s="73">
        <v>0</v>
      </c>
      <c r="L783" s="72">
        <v>6000</v>
      </c>
      <c r="M783" s="68">
        <f t="shared" si="62"/>
        <v>36040</v>
      </c>
      <c r="N783" s="68">
        <f t="shared" si="63"/>
        <v>24000</v>
      </c>
      <c r="O783" s="68">
        <f t="shared" si="64"/>
        <v>12040</v>
      </c>
    </row>
    <row r="784" spans="1:15" x14ac:dyDescent="0.3">
      <c r="A784" s="67" t="s">
        <v>878</v>
      </c>
      <c r="B784" s="70">
        <v>45926</v>
      </c>
      <c r="C784" s="67">
        <f t="shared" si="60"/>
        <v>2025</v>
      </c>
      <c r="D784" s="67" t="str">
        <f t="shared" si="61"/>
        <v>09 Sep</v>
      </c>
      <c r="E784" s="67" t="s">
        <v>48</v>
      </c>
      <c r="F784" s="67" t="s">
        <v>69</v>
      </c>
      <c r="G784" s="67" t="s">
        <v>50</v>
      </c>
      <c r="H784" s="67" t="s">
        <v>98</v>
      </c>
      <c r="I784" s="71">
        <v>2</v>
      </c>
      <c r="J784" s="72">
        <v>56710</v>
      </c>
      <c r="K784" s="73">
        <v>0.1</v>
      </c>
      <c r="L784" s="72">
        <v>42000</v>
      </c>
      <c r="M784" s="68">
        <f t="shared" si="62"/>
        <v>102078</v>
      </c>
      <c r="N784" s="68">
        <f t="shared" si="63"/>
        <v>84000</v>
      </c>
      <c r="O784" s="68">
        <f t="shared" si="64"/>
        <v>18078</v>
      </c>
    </row>
    <row r="785" spans="1:15" x14ac:dyDescent="0.3">
      <c r="A785" s="67" t="s">
        <v>879</v>
      </c>
      <c r="B785" s="70">
        <v>45926</v>
      </c>
      <c r="C785" s="67">
        <f t="shared" si="60"/>
        <v>2025</v>
      </c>
      <c r="D785" s="67" t="str">
        <f t="shared" si="61"/>
        <v>09 Sep</v>
      </c>
      <c r="E785" s="67" t="s">
        <v>42</v>
      </c>
      <c r="F785" s="67" t="s">
        <v>70</v>
      </c>
      <c r="G785" s="67" t="s">
        <v>41</v>
      </c>
      <c r="H785" s="67" t="s">
        <v>89</v>
      </c>
      <c r="I785" s="71">
        <v>2</v>
      </c>
      <c r="J785" s="72">
        <v>6690</v>
      </c>
      <c r="K785" s="73">
        <v>0.05</v>
      </c>
      <c r="L785" s="72">
        <v>4200</v>
      </c>
      <c r="M785" s="68">
        <f t="shared" si="62"/>
        <v>12711</v>
      </c>
      <c r="N785" s="68">
        <f t="shared" si="63"/>
        <v>8400</v>
      </c>
      <c r="O785" s="68">
        <f t="shared" si="64"/>
        <v>4311</v>
      </c>
    </row>
    <row r="786" spans="1:15" x14ac:dyDescent="0.3">
      <c r="A786" s="67" t="s">
        <v>880</v>
      </c>
      <c r="B786" s="70">
        <v>45927</v>
      </c>
      <c r="C786" s="67">
        <f t="shared" si="60"/>
        <v>2025</v>
      </c>
      <c r="D786" s="67" t="str">
        <f t="shared" si="61"/>
        <v>09 Sep</v>
      </c>
      <c r="E786" s="67" t="s">
        <v>39</v>
      </c>
      <c r="F786" s="67" t="s">
        <v>70</v>
      </c>
      <c r="G786" s="67" t="s">
        <v>58</v>
      </c>
      <c r="H786" s="67" t="s">
        <v>100</v>
      </c>
      <c r="I786" s="71">
        <v>4</v>
      </c>
      <c r="J786" s="72">
        <v>9320</v>
      </c>
      <c r="K786" s="73">
        <v>0</v>
      </c>
      <c r="L786" s="72">
        <v>6000</v>
      </c>
      <c r="M786" s="68">
        <f t="shared" si="62"/>
        <v>37280</v>
      </c>
      <c r="N786" s="68">
        <f t="shared" si="63"/>
        <v>24000</v>
      </c>
      <c r="O786" s="68">
        <f t="shared" si="64"/>
        <v>13280</v>
      </c>
    </row>
    <row r="787" spans="1:15" x14ac:dyDescent="0.3">
      <c r="A787" s="67" t="s">
        <v>881</v>
      </c>
      <c r="B787" s="70">
        <v>45931</v>
      </c>
      <c r="C787" s="67">
        <f t="shared" si="60"/>
        <v>2025</v>
      </c>
      <c r="D787" s="67" t="str">
        <f t="shared" si="61"/>
        <v>10 Oct</v>
      </c>
      <c r="E787" s="67" t="s">
        <v>42</v>
      </c>
      <c r="F787" s="67" t="s">
        <v>71</v>
      </c>
      <c r="G787" s="67" t="s">
        <v>55</v>
      </c>
      <c r="H787" s="67" t="s">
        <v>112</v>
      </c>
      <c r="I787" s="71">
        <v>22</v>
      </c>
      <c r="J787" s="72">
        <v>470</v>
      </c>
      <c r="K787" s="73">
        <v>0.05</v>
      </c>
      <c r="L787" s="72">
        <v>250</v>
      </c>
      <c r="M787" s="68">
        <f t="shared" si="62"/>
        <v>9823</v>
      </c>
      <c r="N787" s="68">
        <f t="shared" si="63"/>
        <v>5500</v>
      </c>
      <c r="O787" s="68">
        <f t="shared" si="64"/>
        <v>4323</v>
      </c>
    </row>
    <row r="788" spans="1:15" x14ac:dyDescent="0.3">
      <c r="A788" s="67" t="s">
        <v>882</v>
      </c>
      <c r="B788" s="70">
        <v>45932</v>
      </c>
      <c r="C788" s="67">
        <f t="shared" si="60"/>
        <v>2025</v>
      </c>
      <c r="D788" s="67" t="str">
        <f t="shared" si="61"/>
        <v>10 Oct</v>
      </c>
      <c r="E788" s="67" t="s">
        <v>36</v>
      </c>
      <c r="F788" s="67" t="s">
        <v>71</v>
      </c>
      <c r="G788" s="67" t="s">
        <v>55</v>
      </c>
      <c r="H788" s="67" t="s">
        <v>114</v>
      </c>
      <c r="I788" s="71">
        <v>15</v>
      </c>
      <c r="J788" s="72">
        <v>430</v>
      </c>
      <c r="K788" s="73">
        <v>0</v>
      </c>
      <c r="L788" s="72">
        <v>250</v>
      </c>
      <c r="M788" s="68">
        <f t="shared" si="62"/>
        <v>6450</v>
      </c>
      <c r="N788" s="68">
        <f t="shared" si="63"/>
        <v>3750</v>
      </c>
      <c r="O788" s="68">
        <f t="shared" si="64"/>
        <v>2700</v>
      </c>
    </row>
    <row r="789" spans="1:15" x14ac:dyDescent="0.3">
      <c r="A789" s="67" t="s">
        <v>883</v>
      </c>
      <c r="B789" s="70">
        <v>45933</v>
      </c>
      <c r="C789" s="67">
        <f t="shared" si="60"/>
        <v>2025</v>
      </c>
      <c r="D789" s="67" t="str">
        <f t="shared" si="61"/>
        <v>10 Oct</v>
      </c>
      <c r="E789" s="67" t="s">
        <v>39</v>
      </c>
      <c r="F789" s="67" t="s">
        <v>66</v>
      </c>
      <c r="G789" s="67" t="s">
        <v>38</v>
      </c>
      <c r="H789" s="67" t="s">
        <v>100</v>
      </c>
      <c r="I789" s="71">
        <v>1</v>
      </c>
      <c r="J789" s="72">
        <v>13730</v>
      </c>
      <c r="K789" s="73">
        <v>0</v>
      </c>
      <c r="L789" s="72">
        <v>9500</v>
      </c>
      <c r="M789" s="68">
        <f t="shared" si="62"/>
        <v>13730</v>
      </c>
      <c r="N789" s="68">
        <f t="shared" si="63"/>
        <v>9500</v>
      </c>
      <c r="O789" s="68">
        <f t="shared" si="64"/>
        <v>4230</v>
      </c>
    </row>
    <row r="790" spans="1:15" x14ac:dyDescent="0.3">
      <c r="A790" s="67" t="s">
        <v>884</v>
      </c>
      <c r="B790" s="70">
        <v>45933</v>
      </c>
      <c r="C790" s="67">
        <f t="shared" si="60"/>
        <v>2025</v>
      </c>
      <c r="D790" s="67" t="str">
        <f t="shared" si="61"/>
        <v>10 Oct</v>
      </c>
      <c r="E790" s="67" t="s">
        <v>48</v>
      </c>
      <c r="F790" s="67" t="s">
        <v>70</v>
      </c>
      <c r="G790" s="67" t="s">
        <v>41</v>
      </c>
      <c r="H790" s="67" t="s">
        <v>95</v>
      </c>
      <c r="I790" s="71">
        <v>2</v>
      </c>
      <c r="J790" s="72">
        <v>6240</v>
      </c>
      <c r="K790" s="73">
        <v>0.05</v>
      </c>
      <c r="L790" s="72">
        <v>4200</v>
      </c>
      <c r="M790" s="68">
        <f t="shared" si="62"/>
        <v>11856</v>
      </c>
      <c r="N790" s="68">
        <f t="shared" si="63"/>
        <v>8400</v>
      </c>
      <c r="O790" s="68">
        <f t="shared" si="64"/>
        <v>3456</v>
      </c>
    </row>
    <row r="791" spans="1:15" x14ac:dyDescent="0.3">
      <c r="A791" s="67" t="s">
        <v>885</v>
      </c>
      <c r="B791" s="70">
        <v>45934</v>
      </c>
      <c r="C791" s="67">
        <f t="shared" si="60"/>
        <v>2025</v>
      </c>
      <c r="D791" s="67" t="str">
        <f t="shared" si="61"/>
        <v>10 Oct</v>
      </c>
      <c r="E791" s="67" t="s">
        <v>48</v>
      </c>
      <c r="F791" s="67" t="s">
        <v>70</v>
      </c>
      <c r="G791" s="67" t="s">
        <v>41</v>
      </c>
      <c r="H791" s="67" t="s">
        <v>98</v>
      </c>
      <c r="I791" s="71">
        <v>2</v>
      </c>
      <c r="J791" s="72">
        <v>6310</v>
      </c>
      <c r="K791" s="73">
        <v>0.05</v>
      </c>
      <c r="L791" s="72">
        <v>4200</v>
      </c>
      <c r="M791" s="68">
        <f t="shared" si="62"/>
        <v>11989</v>
      </c>
      <c r="N791" s="68">
        <f t="shared" si="63"/>
        <v>8400</v>
      </c>
      <c r="O791" s="68">
        <f t="shared" si="64"/>
        <v>3589</v>
      </c>
    </row>
    <row r="792" spans="1:15" x14ac:dyDescent="0.3">
      <c r="A792" s="67" t="s">
        <v>886</v>
      </c>
      <c r="B792" s="70">
        <v>45934</v>
      </c>
      <c r="C792" s="67">
        <f t="shared" si="60"/>
        <v>2025</v>
      </c>
      <c r="D792" s="67" t="str">
        <f t="shared" si="61"/>
        <v>10 Oct</v>
      </c>
      <c r="E792" s="67" t="s">
        <v>42</v>
      </c>
      <c r="F792" s="67" t="s">
        <v>71</v>
      </c>
      <c r="G792" s="67" t="s">
        <v>55</v>
      </c>
      <c r="H792" s="67" t="s">
        <v>89</v>
      </c>
      <c r="I792" s="71">
        <v>20</v>
      </c>
      <c r="J792" s="72">
        <v>440</v>
      </c>
      <c r="K792" s="73">
        <v>0</v>
      </c>
      <c r="L792" s="72">
        <v>250</v>
      </c>
      <c r="M792" s="68">
        <f t="shared" si="62"/>
        <v>8800</v>
      </c>
      <c r="N792" s="68">
        <f t="shared" si="63"/>
        <v>5000</v>
      </c>
      <c r="O792" s="68">
        <f t="shared" si="64"/>
        <v>3800</v>
      </c>
    </row>
    <row r="793" spans="1:15" x14ac:dyDescent="0.3">
      <c r="A793" s="67" t="s">
        <v>887</v>
      </c>
      <c r="B793" s="70">
        <v>45934</v>
      </c>
      <c r="C793" s="67">
        <f t="shared" si="60"/>
        <v>2025</v>
      </c>
      <c r="D793" s="67" t="str">
        <f t="shared" si="61"/>
        <v>10 Oct</v>
      </c>
      <c r="E793" s="67" t="s">
        <v>42</v>
      </c>
      <c r="F793" s="67" t="s">
        <v>70</v>
      </c>
      <c r="G793" s="67" t="s">
        <v>62</v>
      </c>
      <c r="H793" s="67" t="s">
        <v>112</v>
      </c>
      <c r="I793" s="71">
        <v>2</v>
      </c>
      <c r="J793" s="72">
        <v>17290</v>
      </c>
      <c r="K793" s="73">
        <v>0</v>
      </c>
      <c r="L793" s="72">
        <v>12500</v>
      </c>
      <c r="M793" s="68">
        <f t="shared" si="62"/>
        <v>34580</v>
      </c>
      <c r="N793" s="68">
        <f t="shared" si="63"/>
        <v>25000</v>
      </c>
      <c r="O793" s="68">
        <f t="shared" si="64"/>
        <v>9580</v>
      </c>
    </row>
    <row r="794" spans="1:15" x14ac:dyDescent="0.3">
      <c r="A794" s="67" t="s">
        <v>888</v>
      </c>
      <c r="B794" s="70">
        <v>45934</v>
      </c>
      <c r="C794" s="67">
        <f t="shared" si="60"/>
        <v>2025</v>
      </c>
      <c r="D794" s="67" t="str">
        <f t="shared" si="61"/>
        <v>10 Oct</v>
      </c>
      <c r="E794" s="67" t="s">
        <v>42</v>
      </c>
      <c r="F794" s="67" t="s">
        <v>71</v>
      </c>
      <c r="G794" s="67" t="s">
        <v>47</v>
      </c>
      <c r="H794" s="67" t="s">
        <v>112</v>
      </c>
      <c r="I794" s="71">
        <v>14</v>
      </c>
      <c r="J794" s="72">
        <v>310</v>
      </c>
      <c r="K794" s="73">
        <v>0</v>
      </c>
      <c r="L794" s="72">
        <v>160</v>
      </c>
      <c r="M794" s="68">
        <f t="shared" si="62"/>
        <v>4340</v>
      </c>
      <c r="N794" s="68">
        <f t="shared" si="63"/>
        <v>2240</v>
      </c>
      <c r="O794" s="68">
        <f t="shared" si="64"/>
        <v>2100</v>
      </c>
    </row>
    <row r="795" spans="1:15" x14ac:dyDescent="0.3">
      <c r="A795" s="67" t="s">
        <v>889</v>
      </c>
      <c r="B795" s="70">
        <v>45935</v>
      </c>
      <c r="C795" s="67">
        <f t="shared" si="60"/>
        <v>2025</v>
      </c>
      <c r="D795" s="67" t="str">
        <f t="shared" si="61"/>
        <v>10 Oct</v>
      </c>
      <c r="E795" s="67" t="s">
        <v>48</v>
      </c>
      <c r="F795" s="67" t="s">
        <v>66</v>
      </c>
      <c r="G795" s="67" t="s">
        <v>53</v>
      </c>
      <c r="H795" s="67" t="s">
        <v>98</v>
      </c>
      <c r="I795" s="71">
        <v>3</v>
      </c>
      <c r="J795" s="72">
        <v>10820</v>
      </c>
      <c r="K795" s="73">
        <v>0</v>
      </c>
      <c r="L795" s="72">
        <v>8000</v>
      </c>
      <c r="M795" s="68">
        <f t="shared" si="62"/>
        <v>32460</v>
      </c>
      <c r="N795" s="68">
        <f t="shared" si="63"/>
        <v>24000</v>
      </c>
      <c r="O795" s="68">
        <f t="shared" si="64"/>
        <v>8460</v>
      </c>
    </row>
    <row r="796" spans="1:15" x14ac:dyDescent="0.3">
      <c r="A796" s="67" t="s">
        <v>890</v>
      </c>
      <c r="B796" s="70">
        <v>45935</v>
      </c>
      <c r="C796" s="67">
        <f t="shared" si="60"/>
        <v>2025</v>
      </c>
      <c r="D796" s="67" t="str">
        <f t="shared" si="61"/>
        <v>10 Oct</v>
      </c>
      <c r="E796" s="67" t="s">
        <v>45</v>
      </c>
      <c r="F796" s="67" t="s">
        <v>71</v>
      </c>
      <c r="G796" s="67" t="s">
        <v>44</v>
      </c>
      <c r="H796" s="67" t="s">
        <v>93</v>
      </c>
      <c r="I796" s="71">
        <v>10</v>
      </c>
      <c r="J796" s="72">
        <v>710</v>
      </c>
      <c r="K796" s="73">
        <v>0</v>
      </c>
      <c r="L796" s="72">
        <v>380</v>
      </c>
      <c r="M796" s="68">
        <f t="shared" si="62"/>
        <v>7100</v>
      </c>
      <c r="N796" s="68">
        <f t="shared" si="63"/>
        <v>3800</v>
      </c>
      <c r="O796" s="68">
        <f t="shared" si="64"/>
        <v>3300</v>
      </c>
    </row>
    <row r="797" spans="1:15" x14ac:dyDescent="0.3">
      <c r="A797" s="67" t="s">
        <v>891</v>
      </c>
      <c r="B797" s="70">
        <v>45937</v>
      </c>
      <c r="C797" s="67">
        <f t="shared" si="60"/>
        <v>2025</v>
      </c>
      <c r="D797" s="67" t="str">
        <f t="shared" si="61"/>
        <v>10 Oct</v>
      </c>
      <c r="E797" s="67" t="s">
        <v>42</v>
      </c>
      <c r="F797" s="67" t="s">
        <v>71</v>
      </c>
      <c r="G797" s="67" t="s">
        <v>47</v>
      </c>
      <c r="H797" s="67" t="s">
        <v>112</v>
      </c>
      <c r="I797" s="71">
        <v>39</v>
      </c>
      <c r="J797" s="72">
        <v>290</v>
      </c>
      <c r="K797" s="73">
        <v>0.1</v>
      </c>
      <c r="L797" s="72">
        <v>160</v>
      </c>
      <c r="M797" s="68">
        <f t="shared" si="62"/>
        <v>10179</v>
      </c>
      <c r="N797" s="68">
        <f t="shared" si="63"/>
        <v>6240</v>
      </c>
      <c r="O797" s="68">
        <f t="shared" si="64"/>
        <v>3939</v>
      </c>
    </row>
    <row r="798" spans="1:15" x14ac:dyDescent="0.3">
      <c r="A798" s="67" t="s">
        <v>892</v>
      </c>
      <c r="B798" s="70">
        <v>45937</v>
      </c>
      <c r="C798" s="67">
        <f t="shared" si="60"/>
        <v>2025</v>
      </c>
      <c r="D798" s="67" t="str">
        <f t="shared" si="61"/>
        <v>10 Oct</v>
      </c>
      <c r="E798" s="67" t="s">
        <v>45</v>
      </c>
      <c r="F798" s="67" t="s">
        <v>71</v>
      </c>
      <c r="G798" s="67" t="s">
        <v>44</v>
      </c>
      <c r="H798" s="67" t="s">
        <v>87</v>
      </c>
      <c r="I798" s="71">
        <v>11</v>
      </c>
      <c r="J798" s="72">
        <v>710</v>
      </c>
      <c r="K798" s="73">
        <v>0.15</v>
      </c>
      <c r="L798" s="72">
        <v>380</v>
      </c>
      <c r="M798" s="68">
        <f t="shared" si="62"/>
        <v>6638.5</v>
      </c>
      <c r="N798" s="68">
        <f t="shared" si="63"/>
        <v>4180</v>
      </c>
      <c r="O798" s="68">
        <f t="shared" si="64"/>
        <v>2458.5</v>
      </c>
    </row>
    <row r="799" spans="1:15" x14ac:dyDescent="0.3">
      <c r="A799" s="67" t="s">
        <v>893</v>
      </c>
      <c r="B799" s="70">
        <v>45939</v>
      </c>
      <c r="C799" s="67">
        <f t="shared" si="60"/>
        <v>2025</v>
      </c>
      <c r="D799" s="67" t="str">
        <f t="shared" si="61"/>
        <v>10 Oct</v>
      </c>
      <c r="E799" s="67" t="s">
        <v>42</v>
      </c>
      <c r="F799" s="67" t="s">
        <v>66</v>
      </c>
      <c r="G799" s="67" t="s">
        <v>53</v>
      </c>
      <c r="H799" s="67" t="s">
        <v>112</v>
      </c>
      <c r="I799" s="71">
        <v>3</v>
      </c>
      <c r="J799" s="72">
        <v>10990</v>
      </c>
      <c r="K799" s="73">
        <v>0</v>
      </c>
      <c r="L799" s="72">
        <v>8000</v>
      </c>
      <c r="M799" s="68">
        <f t="shared" si="62"/>
        <v>32970</v>
      </c>
      <c r="N799" s="68">
        <f t="shared" si="63"/>
        <v>24000</v>
      </c>
      <c r="O799" s="68">
        <f t="shared" si="64"/>
        <v>8970</v>
      </c>
    </row>
    <row r="800" spans="1:15" x14ac:dyDescent="0.3">
      <c r="A800" s="67" t="s">
        <v>894</v>
      </c>
      <c r="B800" s="70">
        <v>45939</v>
      </c>
      <c r="C800" s="67">
        <f t="shared" si="60"/>
        <v>2025</v>
      </c>
      <c r="D800" s="67" t="str">
        <f t="shared" si="61"/>
        <v>10 Oct</v>
      </c>
      <c r="E800" s="67" t="s">
        <v>48</v>
      </c>
      <c r="F800" s="67" t="s">
        <v>70</v>
      </c>
      <c r="G800" s="67" t="s">
        <v>41</v>
      </c>
      <c r="H800" s="67" t="s">
        <v>98</v>
      </c>
      <c r="I800" s="71">
        <v>4</v>
      </c>
      <c r="J800" s="72">
        <v>6790</v>
      </c>
      <c r="K800" s="73">
        <v>0.05</v>
      </c>
      <c r="L800" s="72">
        <v>4200</v>
      </c>
      <c r="M800" s="68">
        <f t="shared" si="62"/>
        <v>25802</v>
      </c>
      <c r="N800" s="68">
        <f t="shared" si="63"/>
        <v>16800</v>
      </c>
      <c r="O800" s="68">
        <f t="shared" si="64"/>
        <v>9002</v>
      </c>
    </row>
    <row r="801" spans="1:15" x14ac:dyDescent="0.3">
      <c r="A801" s="67" t="s">
        <v>895</v>
      </c>
      <c r="B801" s="70">
        <v>45939</v>
      </c>
      <c r="C801" s="67">
        <f t="shared" si="60"/>
        <v>2025</v>
      </c>
      <c r="D801" s="67" t="str">
        <f t="shared" si="61"/>
        <v>10 Oct</v>
      </c>
      <c r="E801" s="67" t="s">
        <v>42</v>
      </c>
      <c r="F801" s="67" t="s">
        <v>70</v>
      </c>
      <c r="G801" s="67" t="s">
        <v>58</v>
      </c>
      <c r="H801" s="67" t="s">
        <v>89</v>
      </c>
      <c r="I801" s="71">
        <v>2</v>
      </c>
      <c r="J801" s="72">
        <v>8630</v>
      </c>
      <c r="K801" s="73">
        <v>0.1</v>
      </c>
      <c r="L801" s="72">
        <v>6000</v>
      </c>
      <c r="M801" s="68">
        <f t="shared" si="62"/>
        <v>15534</v>
      </c>
      <c r="N801" s="68">
        <f t="shared" si="63"/>
        <v>12000</v>
      </c>
      <c r="O801" s="68">
        <f t="shared" si="64"/>
        <v>3534</v>
      </c>
    </row>
    <row r="802" spans="1:15" x14ac:dyDescent="0.3">
      <c r="A802" s="67" t="s">
        <v>896</v>
      </c>
      <c r="B802" s="70">
        <v>45939</v>
      </c>
      <c r="C802" s="67">
        <f t="shared" si="60"/>
        <v>2025</v>
      </c>
      <c r="D802" s="67" t="str">
        <f t="shared" si="61"/>
        <v>10 Oct</v>
      </c>
      <c r="E802" s="67" t="s">
        <v>42</v>
      </c>
      <c r="F802" s="67" t="s">
        <v>71</v>
      </c>
      <c r="G802" s="67" t="s">
        <v>47</v>
      </c>
      <c r="H802" s="67" t="s">
        <v>89</v>
      </c>
      <c r="I802" s="71">
        <v>9</v>
      </c>
      <c r="J802" s="72">
        <v>310</v>
      </c>
      <c r="K802" s="73">
        <v>0</v>
      </c>
      <c r="L802" s="72">
        <v>160</v>
      </c>
      <c r="M802" s="68">
        <f t="shared" si="62"/>
        <v>2790</v>
      </c>
      <c r="N802" s="68">
        <f t="shared" si="63"/>
        <v>1440</v>
      </c>
      <c r="O802" s="68">
        <f t="shared" si="64"/>
        <v>1350</v>
      </c>
    </row>
    <row r="803" spans="1:15" x14ac:dyDescent="0.3">
      <c r="A803" s="67" t="s">
        <v>897</v>
      </c>
      <c r="B803" s="70">
        <v>45940</v>
      </c>
      <c r="C803" s="67">
        <f t="shared" si="60"/>
        <v>2025</v>
      </c>
      <c r="D803" s="67" t="str">
        <f t="shared" si="61"/>
        <v>10 Oct</v>
      </c>
      <c r="E803" s="67" t="s">
        <v>42</v>
      </c>
      <c r="F803" s="67" t="s">
        <v>71</v>
      </c>
      <c r="G803" s="67" t="s">
        <v>44</v>
      </c>
      <c r="H803" s="67" t="s">
        <v>112</v>
      </c>
      <c r="I803" s="71">
        <v>20</v>
      </c>
      <c r="J803" s="72">
        <v>690</v>
      </c>
      <c r="K803" s="73">
        <v>0.1</v>
      </c>
      <c r="L803" s="72">
        <v>380</v>
      </c>
      <c r="M803" s="68">
        <f t="shared" si="62"/>
        <v>12420</v>
      </c>
      <c r="N803" s="68">
        <f t="shared" si="63"/>
        <v>7600</v>
      </c>
      <c r="O803" s="68">
        <f t="shared" si="64"/>
        <v>4820</v>
      </c>
    </row>
    <row r="804" spans="1:15" x14ac:dyDescent="0.3">
      <c r="A804" s="67" t="s">
        <v>898</v>
      </c>
      <c r="B804" s="70">
        <v>45941</v>
      </c>
      <c r="C804" s="67">
        <f t="shared" si="60"/>
        <v>2025</v>
      </c>
      <c r="D804" s="67" t="str">
        <f t="shared" si="61"/>
        <v>10 Oct</v>
      </c>
      <c r="E804" s="67" t="s">
        <v>45</v>
      </c>
      <c r="F804" s="67" t="s">
        <v>66</v>
      </c>
      <c r="G804" s="67" t="s">
        <v>53</v>
      </c>
      <c r="H804" s="67" t="s">
        <v>87</v>
      </c>
      <c r="I804" s="71">
        <v>1</v>
      </c>
      <c r="J804" s="72">
        <v>10890</v>
      </c>
      <c r="K804" s="73">
        <v>0.15</v>
      </c>
      <c r="L804" s="72">
        <v>8000</v>
      </c>
      <c r="M804" s="68">
        <f t="shared" si="62"/>
        <v>9256.5</v>
      </c>
      <c r="N804" s="68">
        <f t="shared" si="63"/>
        <v>8000</v>
      </c>
      <c r="O804" s="68">
        <f t="shared" si="64"/>
        <v>1256.5</v>
      </c>
    </row>
    <row r="805" spans="1:15" x14ac:dyDescent="0.3">
      <c r="A805" s="67" t="s">
        <v>899</v>
      </c>
      <c r="B805" s="70">
        <v>45942</v>
      </c>
      <c r="C805" s="67">
        <f t="shared" si="60"/>
        <v>2025</v>
      </c>
      <c r="D805" s="67" t="str">
        <f t="shared" si="61"/>
        <v>10 Oct</v>
      </c>
      <c r="E805" s="67" t="s">
        <v>42</v>
      </c>
      <c r="F805" s="67" t="s">
        <v>69</v>
      </c>
      <c r="G805" s="67" t="s">
        <v>68</v>
      </c>
      <c r="H805" s="67" t="s">
        <v>89</v>
      </c>
      <c r="I805" s="71">
        <v>1</v>
      </c>
      <c r="J805" s="72">
        <v>3420</v>
      </c>
      <c r="K805" s="73">
        <v>0.1</v>
      </c>
      <c r="L805" s="72">
        <v>2000</v>
      </c>
      <c r="M805" s="68">
        <f t="shared" si="62"/>
        <v>3078</v>
      </c>
      <c r="N805" s="68">
        <f t="shared" si="63"/>
        <v>2000</v>
      </c>
      <c r="O805" s="68">
        <f t="shared" si="64"/>
        <v>1078</v>
      </c>
    </row>
    <row r="806" spans="1:15" x14ac:dyDescent="0.3">
      <c r="A806" s="67" t="s">
        <v>900</v>
      </c>
      <c r="B806" s="70">
        <v>45945</v>
      </c>
      <c r="C806" s="67">
        <f t="shared" si="60"/>
        <v>2025</v>
      </c>
      <c r="D806" s="67" t="str">
        <f t="shared" si="61"/>
        <v>10 Oct</v>
      </c>
      <c r="E806" s="67" t="s">
        <v>39</v>
      </c>
      <c r="F806" s="67" t="s">
        <v>66</v>
      </c>
      <c r="G806" s="67" t="s">
        <v>38</v>
      </c>
      <c r="H806" s="67" t="s">
        <v>107</v>
      </c>
      <c r="I806" s="71">
        <v>3</v>
      </c>
      <c r="J806" s="72">
        <v>14560</v>
      </c>
      <c r="K806" s="73">
        <v>0</v>
      </c>
      <c r="L806" s="72">
        <v>9500</v>
      </c>
      <c r="M806" s="68">
        <f t="shared" si="62"/>
        <v>43680</v>
      </c>
      <c r="N806" s="68">
        <f t="shared" si="63"/>
        <v>28500</v>
      </c>
      <c r="O806" s="68">
        <f t="shared" si="64"/>
        <v>15180</v>
      </c>
    </row>
    <row r="807" spans="1:15" x14ac:dyDescent="0.3">
      <c r="A807" s="67" t="s">
        <v>901</v>
      </c>
      <c r="B807" s="70">
        <v>45945</v>
      </c>
      <c r="C807" s="67">
        <f t="shared" si="60"/>
        <v>2025</v>
      </c>
      <c r="D807" s="67" t="str">
        <f t="shared" si="61"/>
        <v>10 Oct</v>
      </c>
      <c r="E807" s="67" t="s">
        <v>42</v>
      </c>
      <c r="F807" s="67" t="s">
        <v>71</v>
      </c>
      <c r="G807" s="67" t="s">
        <v>44</v>
      </c>
      <c r="H807" s="67" t="s">
        <v>112</v>
      </c>
      <c r="I807" s="71">
        <v>18</v>
      </c>
      <c r="J807" s="72">
        <v>720</v>
      </c>
      <c r="K807" s="73">
        <v>0.05</v>
      </c>
      <c r="L807" s="72">
        <v>380</v>
      </c>
      <c r="M807" s="68">
        <f t="shared" si="62"/>
        <v>12312</v>
      </c>
      <c r="N807" s="68">
        <f t="shared" si="63"/>
        <v>6840</v>
      </c>
      <c r="O807" s="68">
        <f t="shared" si="64"/>
        <v>5472</v>
      </c>
    </row>
    <row r="808" spans="1:15" x14ac:dyDescent="0.3">
      <c r="A808" s="67" t="s">
        <v>902</v>
      </c>
      <c r="B808" s="70">
        <v>45946</v>
      </c>
      <c r="C808" s="67">
        <f t="shared" si="60"/>
        <v>2025</v>
      </c>
      <c r="D808" s="67" t="str">
        <f t="shared" si="61"/>
        <v>10 Oct</v>
      </c>
      <c r="E808" s="67" t="s">
        <v>42</v>
      </c>
      <c r="F808" s="67" t="s">
        <v>70</v>
      </c>
      <c r="G808" s="67" t="s">
        <v>62</v>
      </c>
      <c r="H808" s="67" t="s">
        <v>89</v>
      </c>
      <c r="I808" s="71">
        <v>2</v>
      </c>
      <c r="J808" s="72">
        <v>17140</v>
      </c>
      <c r="K808" s="73">
        <v>0.05</v>
      </c>
      <c r="L808" s="72">
        <v>12500</v>
      </c>
      <c r="M808" s="68">
        <f t="shared" si="62"/>
        <v>32566</v>
      </c>
      <c r="N808" s="68">
        <f t="shared" si="63"/>
        <v>25000</v>
      </c>
      <c r="O808" s="68">
        <f t="shared" si="64"/>
        <v>7566</v>
      </c>
    </row>
    <row r="809" spans="1:15" x14ac:dyDescent="0.3">
      <c r="A809" s="67" t="s">
        <v>903</v>
      </c>
      <c r="B809" s="70">
        <v>45948</v>
      </c>
      <c r="C809" s="67">
        <f t="shared" si="60"/>
        <v>2025</v>
      </c>
      <c r="D809" s="67" t="str">
        <f t="shared" si="61"/>
        <v>10 Oct</v>
      </c>
      <c r="E809" s="67" t="s">
        <v>42</v>
      </c>
      <c r="F809" s="67" t="s">
        <v>69</v>
      </c>
      <c r="G809" s="67" t="s">
        <v>50</v>
      </c>
      <c r="H809" s="67" t="s">
        <v>112</v>
      </c>
      <c r="I809" s="71">
        <v>1</v>
      </c>
      <c r="J809" s="72">
        <v>52970</v>
      </c>
      <c r="K809" s="73">
        <v>0</v>
      </c>
      <c r="L809" s="72">
        <v>42000</v>
      </c>
      <c r="M809" s="68">
        <f t="shared" si="62"/>
        <v>52970</v>
      </c>
      <c r="N809" s="68">
        <f t="shared" si="63"/>
        <v>42000</v>
      </c>
      <c r="O809" s="68">
        <f t="shared" si="64"/>
        <v>10970</v>
      </c>
    </row>
    <row r="810" spans="1:15" x14ac:dyDescent="0.3">
      <c r="A810" s="67" t="s">
        <v>904</v>
      </c>
      <c r="B810" s="70">
        <v>45949</v>
      </c>
      <c r="C810" s="67">
        <f t="shared" si="60"/>
        <v>2025</v>
      </c>
      <c r="D810" s="67" t="str">
        <f t="shared" si="61"/>
        <v>10 Oct</v>
      </c>
      <c r="E810" s="67" t="s">
        <v>42</v>
      </c>
      <c r="F810" s="67" t="s">
        <v>70</v>
      </c>
      <c r="G810" s="67" t="s">
        <v>41</v>
      </c>
      <c r="H810" s="67" t="s">
        <v>112</v>
      </c>
      <c r="I810" s="71">
        <v>1</v>
      </c>
      <c r="J810" s="72">
        <v>6460</v>
      </c>
      <c r="K810" s="73">
        <v>0.05</v>
      </c>
      <c r="L810" s="72">
        <v>4200</v>
      </c>
      <c r="M810" s="68">
        <f t="shared" si="62"/>
        <v>6137</v>
      </c>
      <c r="N810" s="68">
        <f t="shared" si="63"/>
        <v>4200</v>
      </c>
      <c r="O810" s="68">
        <f t="shared" si="64"/>
        <v>1937</v>
      </c>
    </row>
    <row r="811" spans="1:15" x14ac:dyDescent="0.3">
      <c r="A811" s="67" t="s">
        <v>905</v>
      </c>
      <c r="B811" s="70">
        <v>45950</v>
      </c>
      <c r="C811" s="67">
        <f t="shared" si="60"/>
        <v>2025</v>
      </c>
      <c r="D811" s="67" t="str">
        <f t="shared" si="61"/>
        <v>10 Oct</v>
      </c>
      <c r="E811" s="67" t="s">
        <v>42</v>
      </c>
      <c r="F811" s="67" t="s">
        <v>69</v>
      </c>
      <c r="G811" s="67" t="s">
        <v>50</v>
      </c>
      <c r="H811" s="67" t="s">
        <v>89</v>
      </c>
      <c r="I811" s="71">
        <v>2</v>
      </c>
      <c r="J811" s="72">
        <v>56750</v>
      </c>
      <c r="K811" s="73">
        <v>0</v>
      </c>
      <c r="L811" s="72">
        <v>42000</v>
      </c>
      <c r="M811" s="68">
        <f t="shared" si="62"/>
        <v>113500</v>
      </c>
      <c r="N811" s="68">
        <f t="shared" si="63"/>
        <v>84000</v>
      </c>
      <c r="O811" s="68">
        <f t="shared" si="64"/>
        <v>29500</v>
      </c>
    </row>
    <row r="812" spans="1:15" x14ac:dyDescent="0.3">
      <c r="A812" s="67" t="s">
        <v>906</v>
      </c>
      <c r="B812" s="70">
        <v>45951</v>
      </c>
      <c r="C812" s="67">
        <f t="shared" si="60"/>
        <v>2025</v>
      </c>
      <c r="D812" s="67" t="str">
        <f t="shared" si="61"/>
        <v>10 Oct</v>
      </c>
      <c r="E812" s="67" t="s">
        <v>45</v>
      </c>
      <c r="F812" s="67" t="s">
        <v>69</v>
      </c>
      <c r="G812" s="67" t="s">
        <v>50</v>
      </c>
      <c r="H812" s="67" t="s">
        <v>87</v>
      </c>
      <c r="I812" s="71">
        <v>2</v>
      </c>
      <c r="J812" s="72">
        <v>54790</v>
      </c>
      <c r="K812" s="73">
        <v>0.15</v>
      </c>
      <c r="L812" s="72">
        <v>42000</v>
      </c>
      <c r="M812" s="68">
        <f t="shared" si="62"/>
        <v>93143</v>
      </c>
      <c r="N812" s="68">
        <f t="shared" si="63"/>
        <v>84000</v>
      </c>
      <c r="O812" s="68">
        <f t="shared" si="64"/>
        <v>9143</v>
      </c>
    </row>
    <row r="813" spans="1:15" x14ac:dyDescent="0.3">
      <c r="A813" s="67" t="s">
        <v>907</v>
      </c>
      <c r="B813" s="70">
        <v>45952</v>
      </c>
      <c r="C813" s="67">
        <f t="shared" si="60"/>
        <v>2025</v>
      </c>
      <c r="D813" s="67" t="str">
        <f t="shared" si="61"/>
        <v>10 Oct</v>
      </c>
      <c r="E813" s="67" t="s">
        <v>48</v>
      </c>
      <c r="F813" s="67" t="s">
        <v>69</v>
      </c>
      <c r="G813" s="67" t="s">
        <v>50</v>
      </c>
      <c r="H813" s="67" t="s">
        <v>98</v>
      </c>
      <c r="I813" s="71">
        <v>2</v>
      </c>
      <c r="J813" s="72">
        <v>56850</v>
      </c>
      <c r="K813" s="73">
        <v>0.1</v>
      </c>
      <c r="L813" s="72">
        <v>42000</v>
      </c>
      <c r="M813" s="68">
        <f t="shared" si="62"/>
        <v>102330</v>
      </c>
      <c r="N813" s="68">
        <f t="shared" si="63"/>
        <v>84000</v>
      </c>
      <c r="O813" s="68">
        <f t="shared" si="64"/>
        <v>18330</v>
      </c>
    </row>
    <row r="814" spans="1:15" x14ac:dyDescent="0.3">
      <c r="A814" s="67" t="s">
        <v>908</v>
      </c>
      <c r="B814" s="70">
        <v>45952</v>
      </c>
      <c r="C814" s="67">
        <f t="shared" si="60"/>
        <v>2025</v>
      </c>
      <c r="D814" s="67" t="str">
        <f t="shared" si="61"/>
        <v>10 Oct</v>
      </c>
      <c r="E814" s="67" t="s">
        <v>45</v>
      </c>
      <c r="F814" s="67" t="s">
        <v>70</v>
      </c>
      <c r="G814" s="67" t="s">
        <v>62</v>
      </c>
      <c r="H814" s="67" t="s">
        <v>93</v>
      </c>
      <c r="I814" s="71">
        <v>3</v>
      </c>
      <c r="J814" s="72">
        <v>18270</v>
      </c>
      <c r="K814" s="73">
        <v>0.1</v>
      </c>
      <c r="L814" s="72">
        <v>12500</v>
      </c>
      <c r="M814" s="68">
        <f t="shared" si="62"/>
        <v>49329</v>
      </c>
      <c r="N814" s="68">
        <f t="shared" si="63"/>
        <v>37500</v>
      </c>
      <c r="O814" s="68">
        <f t="shared" si="64"/>
        <v>11829</v>
      </c>
    </row>
    <row r="815" spans="1:15" x14ac:dyDescent="0.3">
      <c r="A815" s="67" t="s">
        <v>909</v>
      </c>
      <c r="B815" s="70">
        <v>45952</v>
      </c>
      <c r="C815" s="67">
        <f t="shared" si="60"/>
        <v>2025</v>
      </c>
      <c r="D815" s="67" t="str">
        <f t="shared" si="61"/>
        <v>10 Oct</v>
      </c>
      <c r="E815" s="67" t="s">
        <v>42</v>
      </c>
      <c r="F815" s="67" t="s">
        <v>70</v>
      </c>
      <c r="G815" s="67" t="s">
        <v>62</v>
      </c>
      <c r="H815" s="67" t="s">
        <v>112</v>
      </c>
      <c r="I815" s="71">
        <v>3</v>
      </c>
      <c r="J815" s="72">
        <v>18130</v>
      </c>
      <c r="K815" s="73">
        <v>0</v>
      </c>
      <c r="L815" s="72">
        <v>12500</v>
      </c>
      <c r="M815" s="68">
        <f t="shared" si="62"/>
        <v>54390</v>
      </c>
      <c r="N815" s="68">
        <f t="shared" si="63"/>
        <v>37500</v>
      </c>
      <c r="O815" s="68">
        <f t="shared" si="64"/>
        <v>16890</v>
      </c>
    </row>
    <row r="816" spans="1:15" x14ac:dyDescent="0.3">
      <c r="A816" s="67" t="s">
        <v>910</v>
      </c>
      <c r="B816" s="70">
        <v>45952</v>
      </c>
      <c r="C816" s="67">
        <f t="shared" si="60"/>
        <v>2025</v>
      </c>
      <c r="D816" s="67" t="str">
        <f t="shared" si="61"/>
        <v>10 Oct</v>
      </c>
      <c r="E816" s="67" t="s">
        <v>48</v>
      </c>
      <c r="F816" s="67" t="s">
        <v>70</v>
      </c>
      <c r="G816" s="67" t="s">
        <v>41</v>
      </c>
      <c r="H816" s="67" t="s">
        <v>98</v>
      </c>
      <c r="I816" s="71">
        <v>2</v>
      </c>
      <c r="J816" s="72">
        <v>6410</v>
      </c>
      <c r="K816" s="73">
        <v>0.05</v>
      </c>
      <c r="L816" s="72">
        <v>4200</v>
      </c>
      <c r="M816" s="68">
        <f t="shared" si="62"/>
        <v>12179</v>
      </c>
      <c r="N816" s="68">
        <f t="shared" si="63"/>
        <v>8400</v>
      </c>
      <c r="O816" s="68">
        <f t="shared" si="64"/>
        <v>3779</v>
      </c>
    </row>
    <row r="817" spans="1:15" x14ac:dyDescent="0.3">
      <c r="A817" s="67" t="s">
        <v>911</v>
      </c>
      <c r="B817" s="70">
        <v>45952</v>
      </c>
      <c r="C817" s="67">
        <f t="shared" si="60"/>
        <v>2025</v>
      </c>
      <c r="D817" s="67" t="str">
        <f t="shared" si="61"/>
        <v>10 Oct</v>
      </c>
      <c r="E817" s="67" t="s">
        <v>42</v>
      </c>
      <c r="F817" s="67" t="s">
        <v>70</v>
      </c>
      <c r="G817" s="67" t="s">
        <v>41</v>
      </c>
      <c r="H817" s="67" t="s">
        <v>89</v>
      </c>
      <c r="I817" s="71">
        <v>2</v>
      </c>
      <c r="J817" s="72">
        <v>6200</v>
      </c>
      <c r="K817" s="73">
        <v>0.1</v>
      </c>
      <c r="L817" s="72">
        <v>4200</v>
      </c>
      <c r="M817" s="68">
        <f t="shared" si="62"/>
        <v>11160</v>
      </c>
      <c r="N817" s="68">
        <f t="shared" si="63"/>
        <v>8400</v>
      </c>
      <c r="O817" s="68">
        <f t="shared" si="64"/>
        <v>2760</v>
      </c>
    </row>
    <row r="818" spans="1:15" x14ac:dyDescent="0.3">
      <c r="A818" s="67" t="s">
        <v>912</v>
      </c>
      <c r="B818" s="70">
        <v>45953</v>
      </c>
      <c r="C818" s="67">
        <f t="shared" si="60"/>
        <v>2025</v>
      </c>
      <c r="D818" s="67" t="str">
        <f t="shared" si="61"/>
        <v>10 Oct</v>
      </c>
      <c r="E818" s="67" t="s">
        <v>36</v>
      </c>
      <c r="F818" s="67" t="s">
        <v>69</v>
      </c>
      <c r="G818" s="67" t="s">
        <v>50</v>
      </c>
      <c r="H818" s="67" t="s">
        <v>114</v>
      </c>
      <c r="I818" s="71">
        <v>1</v>
      </c>
      <c r="J818" s="72">
        <v>56100</v>
      </c>
      <c r="K818" s="73">
        <v>0</v>
      </c>
      <c r="L818" s="72">
        <v>42000</v>
      </c>
      <c r="M818" s="68">
        <f t="shared" si="62"/>
        <v>56100</v>
      </c>
      <c r="N818" s="68">
        <f t="shared" si="63"/>
        <v>42000</v>
      </c>
      <c r="O818" s="68">
        <f t="shared" si="64"/>
        <v>14100</v>
      </c>
    </row>
    <row r="819" spans="1:15" x14ac:dyDescent="0.3">
      <c r="A819" s="67" t="s">
        <v>913</v>
      </c>
      <c r="B819" s="70">
        <v>45953</v>
      </c>
      <c r="C819" s="67">
        <f t="shared" si="60"/>
        <v>2025</v>
      </c>
      <c r="D819" s="67" t="str">
        <f t="shared" si="61"/>
        <v>10 Oct</v>
      </c>
      <c r="E819" s="67" t="s">
        <v>36</v>
      </c>
      <c r="F819" s="67" t="s">
        <v>71</v>
      </c>
      <c r="G819" s="67" t="s">
        <v>55</v>
      </c>
      <c r="H819" s="67" t="s">
        <v>91</v>
      </c>
      <c r="I819" s="71">
        <v>40</v>
      </c>
      <c r="J819" s="72">
        <v>430</v>
      </c>
      <c r="K819" s="73">
        <v>0</v>
      </c>
      <c r="L819" s="72">
        <v>250</v>
      </c>
      <c r="M819" s="68">
        <f t="shared" si="62"/>
        <v>17200</v>
      </c>
      <c r="N819" s="68">
        <f t="shared" si="63"/>
        <v>10000</v>
      </c>
      <c r="O819" s="68">
        <f t="shared" si="64"/>
        <v>7200</v>
      </c>
    </row>
    <row r="820" spans="1:15" x14ac:dyDescent="0.3">
      <c r="A820" s="67" t="s">
        <v>914</v>
      </c>
      <c r="B820" s="70">
        <v>45954</v>
      </c>
      <c r="C820" s="67">
        <f t="shared" si="60"/>
        <v>2025</v>
      </c>
      <c r="D820" s="67" t="str">
        <f t="shared" si="61"/>
        <v>10 Oct</v>
      </c>
      <c r="E820" s="67" t="s">
        <v>36</v>
      </c>
      <c r="F820" s="67" t="s">
        <v>71</v>
      </c>
      <c r="G820" s="67" t="s">
        <v>55</v>
      </c>
      <c r="H820" s="67" t="s">
        <v>91</v>
      </c>
      <c r="I820" s="71">
        <v>10</v>
      </c>
      <c r="J820" s="72">
        <v>460</v>
      </c>
      <c r="K820" s="73">
        <v>0</v>
      </c>
      <c r="L820" s="72">
        <v>250</v>
      </c>
      <c r="M820" s="68">
        <f t="shared" si="62"/>
        <v>4600</v>
      </c>
      <c r="N820" s="68">
        <f t="shared" si="63"/>
        <v>2500</v>
      </c>
      <c r="O820" s="68">
        <f t="shared" si="64"/>
        <v>2100</v>
      </c>
    </row>
    <row r="821" spans="1:15" x14ac:dyDescent="0.3">
      <c r="A821" s="67" t="s">
        <v>915</v>
      </c>
      <c r="B821" s="70">
        <v>45954</v>
      </c>
      <c r="C821" s="67">
        <f t="shared" si="60"/>
        <v>2025</v>
      </c>
      <c r="D821" s="67" t="str">
        <f t="shared" si="61"/>
        <v>10 Oct</v>
      </c>
      <c r="E821" s="67" t="s">
        <v>36</v>
      </c>
      <c r="F821" s="67" t="s">
        <v>69</v>
      </c>
      <c r="G821" s="67" t="s">
        <v>60</v>
      </c>
      <c r="H821" s="67" t="s">
        <v>114</v>
      </c>
      <c r="I821" s="71">
        <v>1</v>
      </c>
      <c r="J821" s="72">
        <v>23840</v>
      </c>
      <c r="K821" s="73">
        <v>0</v>
      </c>
      <c r="L821" s="72">
        <v>18000</v>
      </c>
      <c r="M821" s="68">
        <f t="shared" si="62"/>
        <v>23840</v>
      </c>
      <c r="N821" s="68">
        <f t="shared" si="63"/>
        <v>18000</v>
      </c>
      <c r="O821" s="68">
        <f t="shared" si="64"/>
        <v>5840</v>
      </c>
    </row>
    <row r="822" spans="1:15" x14ac:dyDescent="0.3">
      <c r="A822" s="67" t="s">
        <v>916</v>
      </c>
      <c r="B822" s="70">
        <v>45954</v>
      </c>
      <c r="C822" s="67">
        <f t="shared" si="60"/>
        <v>2025</v>
      </c>
      <c r="D822" s="67" t="str">
        <f t="shared" si="61"/>
        <v>10 Oct</v>
      </c>
      <c r="E822" s="67" t="s">
        <v>42</v>
      </c>
      <c r="F822" s="67" t="s">
        <v>71</v>
      </c>
      <c r="G822" s="67" t="s">
        <v>55</v>
      </c>
      <c r="H822" s="67" t="s">
        <v>112</v>
      </c>
      <c r="I822" s="71">
        <v>37</v>
      </c>
      <c r="J822" s="72">
        <v>430</v>
      </c>
      <c r="K822" s="73">
        <v>0</v>
      </c>
      <c r="L822" s="72">
        <v>250</v>
      </c>
      <c r="M822" s="68">
        <f t="shared" si="62"/>
        <v>15910</v>
      </c>
      <c r="N822" s="68">
        <f t="shared" si="63"/>
        <v>9250</v>
      </c>
      <c r="O822" s="68">
        <f t="shared" si="64"/>
        <v>6660</v>
      </c>
    </row>
    <row r="823" spans="1:15" x14ac:dyDescent="0.3">
      <c r="A823" s="67" t="s">
        <v>917</v>
      </c>
      <c r="B823" s="70">
        <v>45954</v>
      </c>
      <c r="C823" s="67">
        <f t="shared" si="60"/>
        <v>2025</v>
      </c>
      <c r="D823" s="67" t="str">
        <f t="shared" si="61"/>
        <v>10 Oct</v>
      </c>
      <c r="E823" s="67" t="s">
        <v>45</v>
      </c>
      <c r="F823" s="67" t="s">
        <v>71</v>
      </c>
      <c r="G823" s="67" t="s">
        <v>55</v>
      </c>
      <c r="H823" s="67" t="s">
        <v>93</v>
      </c>
      <c r="I823" s="71">
        <v>26</v>
      </c>
      <c r="J823" s="72">
        <v>460</v>
      </c>
      <c r="K823" s="73">
        <v>0.05</v>
      </c>
      <c r="L823" s="72">
        <v>250</v>
      </c>
      <c r="M823" s="68">
        <f t="shared" si="62"/>
        <v>11362</v>
      </c>
      <c r="N823" s="68">
        <f t="shared" si="63"/>
        <v>6500</v>
      </c>
      <c r="O823" s="68">
        <f t="shared" si="64"/>
        <v>4862</v>
      </c>
    </row>
    <row r="824" spans="1:15" x14ac:dyDescent="0.3">
      <c r="A824" s="67" t="s">
        <v>918</v>
      </c>
      <c r="B824" s="70">
        <v>45955</v>
      </c>
      <c r="C824" s="67">
        <f t="shared" si="60"/>
        <v>2025</v>
      </c>
      <c r="D824" s="67" t="str">
        <f t="shared" si="61"/>
        <v>10 Oct</v>
      </c>
      <c r="E824" s="67" t="s">
        <v>45</v>
      </c>
      <c r="F824" s="67" t="s">
        <v>70</v>
      </c>
      <c r="G824" s="67" t="s">
        <v>41</v>
      </c>
      <c r="H824" s="67" t="s">
        <v>87</v>
      </c>
      <c r="I824" s="71">
        <v>3</v>
      </c>
      <c r="J824" s="72">
        <v>6370</v>
      </c>
      <c r="K824" s="73">
        <v>0.15</v>
      </c>
      <c r="L824" s="72">
        <v>4200</v>
      </c>
      <c r="M824" s="68">
        <f t="shared" si="62"/>
        <v>16243.5</v>
      </c>
      <c r="N824" s="68">
        <f t="shared" si="63"/>
        <v>12600</v>
      </c>
      <c r="O824" s="68">
        <f t="shared" si="64"/>
        <v>3643.5</v>
      </c>
    </row>
    <row r="825" spans="1:15" x14ac:dyDescent="0.3">
      <c r="A825" s="67" t="s">
        <v>919</v>
      </c>
      <c r="B825" s="70">
        <v>45955</v>
      </c>
      <c r="C825" s="67">
        <f t="shared" si="60"/>
        <v>2025</v>
      </c>
      <c r="D825" s="67" t="str">
        <f t="shared" si="61"/>
        <v>10 Oct</v>
      </c>
      <c r="E825" s="67" t="s">
        <v>42</v>
      </c>
      <c r="F825" s="67" t="s">
        <v>69</v>
      </c>
      <c r="G825" s="67" t="s">
        <v>50</v>
      </c>
      <c r="H825" s="67" t="s">
        <v>89</v>
      </c>
      <c r="I825" s="71">
        <v>2</v>
      </c>
      <c r="J825" s="72">
        <v>56410</v>
      </c>
      <c r="K825" s="73">
        <v>0.05</v>
      </c>
      <c r="L825" s="72">
        <v>42000</v>
      </c>
      <c r="M825" s="68">
        <f t="shared" si="62"/>
        <v>107179</v>
      </c>
      <c r="N825" s="68">
        <f t="shared" si="63"/>
        <v>84000</v>
      </c>
      <c r="O825" s="68">
        <f t="shared" si="64"/>
        <v>23179</v>
      </c>
    </row>
    <row r="826" spans="1:15" x14ac:dyDescent="0.3">
      <c r="A826" s="67" t="s">
        <v>920</v>
      </c>
      <c r="B826" s="70">
        <v>45957</v>
      </c>
      <c r="C826" s="67">
        <f t="shared" si="60"/>
        <v>2025</v>
      </c>
      <c r="D826" s="67" t="str">
        <f t="shared" si="61"/>
        <v>10 Oct</v>
      </c>
      <c r="E826" s="67" t="s">
        <v>45</v>
      </c>
      <c r="F826" s="67" t="s">
        <v>70</v>
      </c>
      <c r="G826" s="67" t="s">
        <v>41</v>
      </c>
      <c r="H826" s="67" t="s">
        <v>93</v>
      </c>
      <c r="I826" s="71">
        <v>4</v>
      </c>
      <c r="J826" s="72">
        <v>6740</v>
      </c>
      <c r="K826" s="73">
        <v>0.1</v>
      </c>
      <c r="L826" s="72">
        <v>4200</v>
      </c>
      <c r="M826" s="68">
        <f t="shared" si="62"/>
        <v>24264</v>
      </c>
      <c r="N826" s="68">
        <f t="shared" si="63"/>
        <v>16800</v>
      </c>
      <c r="O826" s="68">
        <f t="shared" si="64"/>
        <v>7464</v>
      </c>
    </row>
    <row r="827" spans="1:15" x14ac:dyDescent="0.3">
      <c r="A827" s="67" t="s">
        <v>921</v>
      </c>
      <c r="B827" s="70">
        <v>45958</v>
      </c>
      <c r="C827" s="67">
        <f t="shared" si="60"/>
        <v>2025</v>
      </c>
      <c r="D827" s="67" t="str">
        <f t="shared" si="61"/>
        <v>10 Oct</v>
      </c>
      <c r="E827" s="67" t="s">
        <v>48</v>
      </c>
      <c r="F827" s="67" t="s">
        <v>71</v>
      </c>
      <c r="G827" s="67" t="s">
        <v>47</v>
      </c>
      <c r="H827" s="67" t="s">
        <v>98</v>
      </c>
      <c r="I827" s="71">
        <v>9</v>
      </c>
      <c r="J827" s="72">
        <v>290</v>
      </c>
      <c r="K827" s="73">
        <v>0</v>
      </c>
      <c r="L827" s="72">
        <v>160</v>
      </c>
      <c r="M827" s="68">
        <f t="shared" si="62"/>
        <v>2610</v>
      </c>
      <c r="N827" s="68">
        <f t="shared" si="63"/>
        <v>1440</v>
      </c>
      <c r="O827" s="68">
        <f t="shared" si="64"/>
        <v>1170</v>
      </c>
    </row>
    <row r="828" spans="1:15" x14ac:dyDescent="0.3">
      <c r="A828" s="67" t="s">
        <v>922</v>
      </c>
      <c r="B828" s="70">
        <v>45958</v>
      </c>
      <c r="C828" s="67">
        <f t="shared" si="60"/>
        <v>2025</v>
      </c>
      <c r="D828" s="67" t="str">
        <f t="shared" si="61"/>
        <v>10 Oct</v>
      </c>
      <c r="E828" s="67" t="s">
        <v>36</v>
      </c>
      <c r="F828" s="67" t="s">
        <v>70</v>
      </c>
      <c r="G828" s="67" t="s">
        <v>41</v>
      </c>
      <c r="H828" s="67" t="s">
        <v>114</v>
      </c>
      <c r="I828" s="71">
        <v>3</v>
      </c>
      <c r="J828" s="72">
        <v>6510</v>
      </c>
      <c r="K828" s="73">
        <v>0.05</v>
      </c>
      <c r="L828" s="72">
        <v>4200</v>
      </c>
      <c r="M828" s="68">
        <f t="shared" si="62"/>
        <v>18553.5</v>
      </c>
      <c r="N828" s="68">
        <f t="shared" si="63"/>
        <v>12600</v>
      </c>
      <c r="O828" s="68">
        <f t="shared" si="64"/>
        <v>5953.5</v>
      </c>
    </row>
    <row r="829" spans="1:15" x14ac:dyDescent="0.3">
      <c r="A829" s="67" t="s">
        <v>923</v>
      </c>
      <c r="B829" s="70">
        <v>45964</v>
      </c>
      <c r="C829" s="67">
        <f t="shared" si="60"/>
        <v>2025</v>
      </c>
      <c r="D829" s="67" t="str">
        <f t="shared" si="61"/>
        <v>11 Nov</v>
      </c>
      <c r="E829" s="67" t="s">
        <v>45</v>
      </c>
      <c r="F829" s="67" t="s">
        <v>70</v>
      </c>
      <c r="G829" s="67" t="s">
        <v>41</v>
      </c>
      <c r="H829" s="67" t="s">
        <v>93</v>
      </c>
      <c r="I829" s="71">
        <v>2</v>
      </c>
      <c r="J829" s="72">
        <v>6310</v>
      </c>
      <c r="K829" s="73">
        <v>0.05</v>
      </c>
      <c r="L829" s="72">
        <v>4200</v>
      </c>
      <c r="M829" s="68">
        <f t="shared" si="62"/>
        <v>11989</v>
      </c>
      <c r="N829" s="68">
        <f t="shared" si="63"/>
        <v>8400</v>
      </c>
      <c r="O829" s="68">
        <f t="shared" si="64"/>
        <v>3589</v>
      </c>
    </row>
    <row r="830" spans="1:15" x14ac:dyDescent="0.3">
      <c r="A830" s="67" t="s">
        <v>924</v>
      </c>
      <c r="B830" s="70">
        <v>45966</v>
      </c>
      <c r="C830" s="67">
        <f t="shared" si="60"/>
        <v>2025</v>
      </c>
      <c r="D830" s="67" t="str">
        <f t="shared" si="61"/>
        <v>11 Nov</v>
      </c>
      <c r="E830" s="67" t="s">
        <v>39</v>
      </c>
      <c r="F830" s="67" t="s">
        <v>66</v>
      </c>
      <c r="G830" s="67" t="s">
        <v>53</v>
      </c>
      <c r="H830" s="67" t="s">
        <v>107</v>
      </c>
      <c r="I830" s="71">
        <v>1</v>
      </c>
      <c r="J830" s="72">
        <v>10710</v>
      </c>
      <c r="K830" s="73">
        <v>0.05</v>
      </c>
      <c r="L830" s="72">
        <v>8000</v>
      </c>
      <c r="M830" s="68">
        <f t="shared" si="62"/>
        <v>10174.5</v>
      </c>
      <c r="N830" s="68">
        <f t="shared" si="63"/>
        <v>8000</v>
      </c>
      <c r="O830" s="68">
        <f t="shared" si="64"/>
        <v>2174.5</v>
      </c>
    </row>
    <row r="831" spans="1:15" x14ac:dyDescent="0.3">
      <c r="A831" s="67" t="s">
        <v>925</v>
      </c>
      <c r="B831" s="70">
        <v>45967</v>
      </c>
      <c r="C831" s="67">
        <f t="shared" si="60"/>
        <v>2025</v>
      </c>
      <c r="D831" s="67" t="str">
        <f t="shared" si="61"/>
        <v>11 Nov</v>
      </c>
      <c r="E831" s="67" t="s">
        <v>45</v>
      </c>
      <c r="F831" s="67" t="s">
        <v>71</v>
      </c>
      <c r="G831" s="67" t="s">
        <v>55</v>
      </c>
      <c r="H831" s="67" t="s">
        <v>87</v>
      </c>
      <c r="I831" s="71">
        <v>34</v>
      </c>
      <c r="J831" s="72">
        <v>440</v>
      </c>
      <c r="K831" s="73">
        <v>0.1</v>
      </c>
      <c r="L831" s="72">
        <v>250</v>
      </c>
      <c r="M831" s="68">
        <f t="shared" si="62"/>
        <v>13464</v>
      </c>
      <c r="N831" s="68">
        <f t="shared" si="63"/>
        <v>8500</v>
      </c>
      <c r="O831" s="68">
        <f t="shared" si="64"/>
        <v>4964</v>
      </c>
    </row>
    <row r="832" spans="1:15" x14ac:dyDescent="0.3">
      <c r="A832" s="67" t="s">
        <v>926</v>
      </c>
      <c r="B832" s="70">
        <v>45968</v>
      </c>
      <c r="C832" s="67">
        <f t="shared" si="60"/>
        <v>2025</v>
      </c>
      <c r="D832" s="67" t="str">
        <f t="shared" si="61"/>
        <v>11 Nov</v>
      </c>
      <c r="E832" s="67" t="s">
        <v>42</v>
      </c>
      <c r="F832" s="67" t="s">
        <v>71</v>
      </c>
      <c r="G832" s="67" t="s">
        <v>55</v>
      </c>
      <c r="H832" s="67" t="s">
        <v>112</v>
      </c>
      <c r="I832" s="71">
        <v>19</v>
      </c>
      <c r="J832" s="72">
        <v>450</v>
      </c>
      <c r="K832" s="73">
        <v>0</v>
      </c>
      <c r="L832" s="72">
        <v>250</v>
      </c>
      <c r="M832" s="68">
        <f t="shared" si="62"/>
        <v>8550</v>
      </c>
      <c r="N832" s="68">
        <f t="shared" si="63"/>
        <v>4750</v>
      </c>
      <c r="O832" s="68">
        <f t="shared" si="64"/>
        <v>3800</v>
      </c>
    </row>
    <row r="833" spans="1:15" x14ac:dyDescent="0.3">
      <c r="A833" s="67" t="s">
        <v>927</v>
      </c>
      <c r="B833" s="70">
        <v>45969</v>
      </c>
      <c r="C833" s="67">
        <f t="shared" si="60"/>
        <v>2025</v>
      </c>
      <c r="D833" s="67" t="str">
        <f t="shared" si="61"/>
        <v>11 Nov</v>
      </c>
      <c r="E833" s="67" t="s">
        <v>48</v>
      </c>
      <c r="F833" s="67" t="s">
        <v>69</v>
      </c>
      <c r="G833" s="67" t="s">
        <v>60</v>
      </c>
      <c r="H833" s="67" t="s">
        <v>98</v>
      </c>
      <c r="I833" s="71">
        <v>2</v>
      </c>
      <c r="J833" s="72">
        <v>24640</v>
      </c>
      <c r="K833" s="73">
        <v>0</v>
      </c>
      <c r="L833" s="72">
        <v>18000</v>
      </c>
      <c r="M833" s="68">
        <f t="shared" si="62"/>
        <v>49280</v>
      </c>
      <c r="N833" s="68">
        <f t="shared" si="63"/>
        <v>36000</v>
      </c>
      <c r="O833" s="68">
        <f t="shared" si="64"/>
        <v>13280</v>
      </c>
    </row>
    <row r="834" spans="1:15" x14ac:dyDescent="0.3">
      <c r="A834" s="67" t="s">
        <v>928</v>
      </c>
      <c r="B834" s="70">
        <v>45969</v>
      </c>
      <c r="C834" s="67">
        <f t="shared" ref="C834:C897" si="65">YEAR(B834)</f>
        <v>2025</v>
      </c>
      <c r="D834" s="67" t="str">
        <f t="shared" ref="D834:D901" si="66">CHOOSE(MONTH(B834),"01 Jan","02 Feb","03 Mar","04 Apr","05 May","06 Jun","07 Jul","08 Aug","09 Sep","10 Oct","11 Nov","12 Dec")</f>
        <v>11 Nov</v>
      </c>
      <c r="E834" s="67" t="s">
        <v>45</v>
      </c>
      <c r="F834" s="67" t="s">
        <v>66</v>
      </c>
      <c r="G834" s="67" t="s">
        <v>53</v>
      </c>
      <c r="H834" s="67" t="s">
        <v>87</v>
      </c>
      <c r="I834" s="71">
        <v>2</v>
      </c>
      <c r="J834" s="72">
        <v>10580</v>
      </c>
      <c r="K834" s="73">
        <v>0</v>
      </c>
      <c r="L834" s="72">
        <v>8000</v>
      </c>
      <c r="M834" s="68">
        <f t="shared" ref="M834:M901" si="67">I834*J834*(1-K834)</f>
        <v>21160</v>
      </c>
      <c r="N834" s="68">
        <f t="shared" ref="N834:N901" si="68">I834*L834</f>
        <v>16000</v>
      </c>
      <c r="O834" s="68">
        <f t="shared" ref="O834:O897" si="69">M834-N834</f>
        <v>5160</v>
      </c>
    </row>
    <row r="835" spans="1:15" x14ac:dyDescent="0.3">
      <c r="A835" s="67" t="s">
        <v>929</v>
      </c>
      <c r="B835" s="70">
        <v>45970</v>
      </c>
      <c r="C835" s="67">
        <f t="shared" si="65"/>
        <v>2025</v>
      </c>
      <c r="D835" s="67" t="str">
        <f t="shared" si="66"/>
        <v>11 Nov</v>
      </c>
      <c r="E835" s="67" t="s">
        <v>45</v>
      </c>
      <c r="F835" s="67" t="s">
        <v>71</v>
      </c>
      <c r="G835" s="67" t="s">
        <v>47</v>
      </c>
      <c r="H835" s="67" t="s">
        <v>93</v>
      </c>
      <c r="I835" s="71">
        <v>8</v>
      </c>
      <c r="J835" s="72">
        <v>300</v>
      </c>
      <c r="K835" s="73">
        <v>0.05</v>
      </c>
      <c r="L835" s="72">
        <v>160</v>
      </c>
      <c r="M835" s="68">
        <f t="shared" si="67"/>
        <v>2280</v>
      </c>
      <c r="N835" s="68">
        <f t="shared" si="68"/>
        <v>1280</v>
      </c>
      <c r="O835" s="68">
        <f t="shared" si="69"/>
        <v>1000</v>
      </c>
    </row>
    <row r="836" spans="1:15" x14ac:dyDescent="0.3">
      <c r="A836" s="67" t="s">
        <v>930</v>
      </c>
      <c r="B836" s="70">
        <v>45971</v>
      </c>
      <c r="C836" s="67">
        <f t="shared" si="65"/>
        <v>2025</v>
      </c>
      <c r="D836" s="67" t="str">
        <f t="shared" si="66"/>
        <v>11 Nov</v>
      </c>
      <c r="E836" s="67" t="s">
        <v>45</v>
      </c>
      <c r="F836" s="67" t="s">
        <v>66</v>
      </c>
      <c r="G836" s="67" t="s">
        <v>65</v>
      </c>
      <c r="H836" s="67" t="s">
        <v>93</v>
      </c>
      <c r="I836" s="71">
        <v>3</v>
      </c>
      <c r="J836" s="72">
        <v>13870</v>
      </c>
      <c r="K836" s="73">
        <v>0</v>
      </c>
      <c r="L836" s="72">
        <v>9000</v>
      </c>
      <c r="M836" s="68">
        <f t="shared" si="67"/>
        <v>41610</v>
      </c>
      <c r="N836" s="68">
        <f t="shared" si="68"/>
        <v>27000</v>
      </c>
      <c r="O836" s="68">
        <f t="shared" si="69"/>
        <v>14610</v>
      </c>
    </row>
    <row r="837" spans="1:15" x14ac:dyDescent="0.3">
      <c r="A837" s="67" t="s">
        <v>931</v>
      </c>
      <c r="B837" s="70">
        <v>45972</v>
      </c>
      <c r="C837" s="67">
        <f t="shared" si="65"/>
        <v>2025</v>
      </c>
      <c r="D837" s="67" t="str">
        <f t="shared" si="66"/>
        <v>11 Nov</v>
      </c>
      <c r="E837" s="67" t="s">
        <v>42</v>
      </c>
      <c r="F837" s="67" t="s">
        <v>69</v>
      </c>
      <c r="G837" s="67" t="s">
        <v>60</v>
      </c>
      <c r="H837" s="67" t="s">
        <v>112</v>
      </c>
      <c r="I837" s="71">
        <v>1</v>
      </c>
      <c r="J837" s="72">
        <v>22950</v>
      </c>
      <c r="K837" s="73">
        <v>0</v>
      </c>
      <c r="L837" s="72">
        <v>18000</v>
      </c>
      <c r="M837" s="68">
        <f t="shared" si="67"/>
        <v>22950</v>
      </c>
      <c r="N837" s="68">
        <f t="shared" si="68"/>
        <v>18000</v>
      </c>
      <c r="O837" s="68">
        <f t="shared" si="69"/>
        <v>4950</v>
      </c>
    </row>
    <row r="838" spans="1:15" x14ac:dyDescent="0.3">
      <c r="A838" s="67" t="s">
        <v>932</v>
      </c>
      <c r="B838" s="70">
        <v>45974</v>
      </c>
      <c r="C838" s="67">
        <f t="shared" si="65"/>
        <v>2025</v>
      </c>
      <c r="D838" s="67" t="str">
        <f t="shared" si="66"/>
        <v>11 Nov</v>
      </c>
      <c r="E838" s="67" t="s">
        <v>48</v>
      </c>
      <c r="F838" s="67" t="s">
        <v>70</v>
      </c>
      <c r="G838" s="67" t="s">
        <v>62</v>
      </c>
      <c r="H838" s="67" t="s">
        <v>98</v>
      </c>
      <c r="I838" s="71">
        <v>1</v>
      </c>
      <c r="J838" s="72">
        <v>18500</v>
      </c>
      <c r="K838" s="73">
        <v>0.05</v>
      </c>
      <c r="L838" s="72">
        <v>12500</v>
      </c>
      <c r="M838" s="68">
        <f t="shared" si="67"/>
        <v>17575</v>
      </c>
      <c r="N838" s="68">
        <f t="shared" si="68"/>
        <v>12500</v>
      </c>
      <c r="O838" s="68">
        <f t="shared" si="69"/>
        <v>5075</v>
      </c>
    </row>
    <row r="839" spans="1:15" x14ac:dyDescent="0.3">
      <c r="A839" s="67" t="s">
        <v>933</v>
      </c>
      <c r="B839" s="70">
        <v>45975</v>
      </c>
      <c r="C839" s="67">
        <f t="shared" si="65"/>
        <v>2025</v>
      </c>
      <c r="D839" s="67" t="str">
        <f t="shared" si="66"/>
        <v>11 Nov</v>
      </c>
      <c r="E839" s="67" t="s">
        <v>45</v>
      </c>
      <c r="F839" s="67" t="s">
        <v>69</v>
      </c>
      <c r="G839" s="67" t="s">
        <v>50</v>
      </c>
      <c r="H839" s="67" t="s">
        <v>93</v>
      </c>
      <c r="I839" s="71">
        <v>1</v>
      </c>
      <c r="J839" s="72">
        <v>57220</v>
      </c>
      <c r="K839" s="73">
        <v>0.05</v>
      </c>
      <c r="L839" s="72">
        <v>42000</v>
      </c>
      <c r="M839" s="68">
        <f t="shared" si="67"/>
        <v>54359</v>
      </c>
      <c r="N839" s="68">
        <f t="shared" si="68"/>
        <v>42000</v>
      </c>
      <c r="O839" s="68">
        <f t="shared" si="69"/>
        <v>12359</v>
      </c>
    </row>
    <row r="840" spans="1:15" x14ac:dyDescent="0.3">
      <c r="A840" s="67" t="s">
        <v>934</v>
      </c>
      <c r="B840" s="70">
        <v>45976</v>
      </c>
      <c r="C840" s="67">
        <f t="shared" si="65"/>
        <v>2025</v>
      </c>
      <c r="D840" s="67" t="str">
        <f t="shared" si="66"/>
        <v>11 Nov</v>
      </c>
      <c r="E840" s="67" t="s">
        <v>36</v>
      </c>
      <c r="F840" s="67" t="s">
        <v>66</v>
      </c>
      <c r="G840" s="67" t="s">
        <v>38</v>
      </c>
      <c r="H840" s="67" t="s">
        <v>91</v>
      </c>
      <c r="I840" s="71">
        <v>3</v>
      </c>
      <c r="J840" s="72">
        <v>13820</v>
      </c>
      <c r="K840" s="73">
        <v>0</v>
      </c>
      <c r="L840" s="72">
        <v>9500</v>
      </c>
      <c r="M840" s="68">
        <f t="shared" si="67"/>
        <v>41460</v>
      </c>
      <c r="N840" s="68">
        <f t="shared" si="68"/>
        <v>28500</v>
      </c>
      <c r="O840" s="68">
        <f t="shared" si="69"/>
        <v>12960</v>
      </c>
    </row>
    <row r="841" spans="1:15" x14ac:dyDescent="0.3">
      <c r="A841" s="67" t="s">
        <v>935</v>
      </c>
      <c r="B841" s="70">
        <v>45976</v>
      </c>
      <c r="C841" s="67">
        <f t="shared" si="65"/>
        <v>2025</v>
      </c>
      <c r="D841" s="67" t="str">
        <f t="shared" si="66"/>
        <v>11 Nov</v>
      </c>
      <c r="E841" s="67" t="s">
        <v>42</v>
      </c>
      <c r="F841" s="67" t="s">
        <v>70</v>
      </c>
      <c r="G841" s="67" t="s">
        <v>58</v>
      </c>
      <c r="H841" s="67" t="s">
        <v>89</v>
      </c>
      <c r="I841" s="71">
        <v>3</v>
      </c>
      <c r="J841" s="72">
        <v>9300</v>
      </c>
      <c r="K841" s="73">
        <v>0</v>
      </c>
      <c r="L841" s="72">
        <v>6000</v>
      </c>
      <c r="M841" s="68">
        <f t="shared" si="67"/>
        <v>27900</v>
      </c>
      <c r="N841" s="68">
        <f t="shared" si="68"/>
        <v>18000</v>
      </c>
      <c r="O841" s="68">
        <f t="shared" si="69"/>
        <v>9900</v>
      </c>
    </row>
    <row r="842" spans="1:15" x14ac:dyDescent="0.3">
      <c r="A842" s="67" t="s">
        <v>936</v>
      </c>
      <c r="B842" s="70">
        <v>45977</v>
      </c>
      <c r="C842" s="67">
        <f t="shared" si="65"/>
        <v>2025</v>
      </c>
      <c r="D842" s="67" t="str">
        <f t="shared" si="66"/>
        <v>11 Nov</v>
      </c>
      <c r="E842" s="67" t="s">
        <v>45</v>
      </c>
      <c r="F842" s="67" t="s">
        <v>66</v>
      </c>
      <c r="G842" s="67" t="s">
        <v>53</v>
      </c>
      <c r="H842" s="67" t="s">
        <v>93</v>
      </c>
      <c r="I842" s="71">
        <v>3</v>
      </c>
      <c r="J842" s="72">
        <v>10500</v>
      </c>
      <c r="K842" s="73">
        <v>0</v>
      </c>
      <c r="L842" s="72">
        <v>8000</v>
      </c>
      <c r="M842" s="68">
        <f t="shared" si="67"/>
        <v>31500</v>
      </c>
      <c r="N842" s="68">
        <f t="shared" si="68"/>
        <v>24000</v>
      </c>
      <c r="O842" s="68">
        <f t="shared" si="69"/>
        <v>7500</v>
      </c>
    </row>
    <row r="843" spans="1:15" x14ac:dyDescent="0.3">
      <c r="A843" s="67" t="s">
        <v>937</v>
      </c>
      <c r="B843" s="70">
        <v>45977</v>
      </c>
      <c r="C843" s="67">
        <f t="shared" si="65"/>
        <v>2025</v>
      </c>
      <c r="D843" s="67" t="str">
        <f t="shared" si="66"/>
        <v>11 Nov</v>
      </c>
      <c r="E843" s="67" t="s">
        <v>39</v>
      </c>
      <c r="F843" s="67" t="s">
        <v>66</v>
      </c>
      <c r="G843" s="67" t="s">
        <v>38</v>
      </c>
      <c r="H843" s="67" t="s">
        <v>107</v>
      </c>
      <c r="I843" s="71">
        <v>2</v>
      </c>
      <c r="J843" s="72">
        <v>13780</v>
      </c>
      <c r="K843" s="73">
        <v>0</v>
      </c>
      <c r="L843" s="72">
        <v>9500</v>
      </c>
      <c r="M843" s="68">
        <f t="shared" si="67"/>
        <v>27560</v>
      </c>
      <c r="N843" s="68">
        <f t="shared" si="68"/>
        <v>19000</v>
      </c>
      <c r="O843" s="68">
        <f t="shared" si="69"/>
        <v>8560</v>
      </c>
    </row>
    <row r="844" spans="1:15" x14ac:dyDescent="0.3">
      <c r="A844" s="67" t="s">
        <v>938</v>
      </c>
      <c r="B844" s="70">
        <v>45979</v>
      </c>
      <c r="C844" s="67">
        <f t="shared" si="65"/>
        <v>2025</v>
      </c>
      <c r="D844" s="67" t="str">
        <f t="shared" si="66"/>
        <v>11 Nov</v>
      </c>
      <c r="E844" s="67" t="s">
        <v>42</v>
      </c>
      <c r="F844" s="67" t="s">
        <v>70</v>
      </c>
      <c r="G844" s="67" t="s">
        <v>58</v>
      </c>
      <c r="H844" s="67" t="s">
        <v>89</v>
      </c>
      <c r="I844" s="71">
        <v>3</v>
      </c>
      <c r="J844" s="72">
        <v>9100</v>
      </c>
      <c r="K844" s="73">
        <v>0</v>
      </c>
      <c r="L844" s="72">
        <v>6000</v>
      </c>
      <c r="M844" s="68">
        <f t="shared" si="67"/>
        <v>27300</v>
      </c>
      <c r="N844" s="68">
        <f t="shared" si="68"/>
        <v>18000</v>
      </c>
      <c r="O844" s="68">
        <f t="shared" si="69"/>
        <v>9300</v>
      </c>
    </row>
    <row r="845" spans="1:15" x14ac:dyDescent="0.3">
      <c r="A845" s="67" t="s">
        <v>939</v>
      </c>
      <c r="B845" s="70">
        <v>45980</v>
      </c>
      <c r="C845" s="67">
        <f t="shared" si="65"/>
        <v>2025</v>
      </c>
      <c r="D845" s="67" t="str">
        <f t="shared" si="66"/>
        <v>11 Nov</v>
      </c>
      <c r="E845" s="67" t="s">
        <v>42</v>
      </c>
      <c r="F845" s="67" t="s">
        <v>70</v>
      </c>
      <c r="G845" s="67" t="s">
        <v>58</v>
      </c>
      <c r="H845" s="67" t="s">
        <v>89</v>
      </c>
      <c r="I845" s="71">
        <v>4</v>
      </c>
      <c r="J845" s="72">
        <v>8900</v>
      </c>
      <c r="K845" s="73">
        <v>0.05</v>
      </c>
      <c r="L845" s="72">
        <v>6000</v>
      </c>
      <c r="M845" s="68">
        <f t="shared" si="67"/>
        <v>33820</v>
      </c>
      <c r="N845" s="68">
        <f t="shared" si="68"/>
        <v>24000</v>
      </c>
      <c r="O845" s="68">
        <f t="shared" si="69"/>
        <v>9820</v>
      </c>
    </row>
    <row r="846" spans="1:15" x14ac:dyDescent="0.3">
      <c r="A846" s="67" t="s">
        <v>940</v>
      </c>
      <c r="B846" s="70">
        <v>45981</v>
      </c>
      <c r="C846" s="67">
        <f t="shared" si="65"/>
        <v>2025</v>
      </c>
      <c r="D846" s="67" t="str">
        <f t="shared" si="66"/>
        <v>11 Nov</v>
      </c>
      <c r="E846" s="67" t="s">
        <v>45</v>
      </c>
      <c r="F846" s="67" t="s">
        <v>71</v>
      </c>
      <c r="G846" s="67" t="s">
        <v>44</v>
      </c>
      <c r="H846" s="67" t="s">
        <v>93</v>
      </c>
      <c r="I846" s="71">
        <v>8</v>
      </c>
      <c r="J846" s="72">
        <v>730</v>
      </c>
      <c r="K846" s="73">
        <v>0.05</v>
      </c>
      <c r="L846" s="72">
        <v>380</v>
      </c>
      <c r="M846" s="68">
        <f t="shared" si="67"/>
        <v>5548</v>
      </c>
      <c r="N846" s="68">
        <f t="shared" si="68"/>
        <v>3040</v>
      </c>
      <c r="O846" s="68">
        <f t="shared" si="69"/>
        <v>2508</v>
      </c>
    </row>
    <row r="847" spans="1:15" x14ac:dyDescent="0.3">
      <c r="A847" s="67" t="s">
        <v>941</v>
      </c>
      <c r="B847" s="70">
        <v>45982</v>
      </c>
      <c r="C847" s="67">
        <f t="shared" si="65"/>
        <v>2025</v>
      </c>
      <c r="D847" s="67" t="str">
        <f t="shared" si="66"/>
        <v>11 Nov</v>
      </c>
      <c r="E847" s="67" t="s">
        <v>45</v>
      </c>
      <c r="F847" s="67" t="s">
        <v>66</v>
      </c>
      <c r="G847" s="67" t="s">
        <v>53</v>
      </c>
      <c r="H847" s="67" t="s">
        <v>87</v>
      </c>
      <c r="I847" s="71">
        <v>3</v>
      </c>
      <c r="J847" s="72">
        <v>11150</v>
      </c>
      <c r="K847" s="73">
        <v>0.05</v>
      </c>
      <c r="L847" s="72">
        <v>8000</v>
      </c>
      <c r="M847" s="68">
        <f t="shared" si="67"/>
        <v>31777.5</v>
      </c>
      <c r="N847" s="68">
        <f t="shared" si="68"/>
        <v>24000</v>
      </c>
      <c r="O847" s="68">
        <f t="shared" si="69"/>
        <v>7777.5</v>
      </c>
    </row>
    <row r="848" spans="1:15" x14ac:dyDescent="0.3">
      <c r="A848" s="67" t="s">
        <v>942</v>
      </c>
      <c r="B848" s="70">
        <v>45982</v>
      </c>
      <c r="C848" s="67">
        <f t="shared" si="65"/>
        <v>2025</v>
      </c>
      <c r="D848" s="67" t="str">
        <f t="shared" si="66"/>
        <v>11 Nov</v>
      </c>
      <c r="E848" s="67" t="s">
        <v>48</v>
      </c>
      <c r="F848" s="67" t="s">
        <v>69</v>
      </c>
      <c r="G848" s="67" t="s">
        <v>68</v>
      </c>
      <c r="H848" s="67" t="s">
        <v>98</v>
      </c>
      <c r="I848" s="71">
        <v>4</v>
      </c>
      <c r="J848" s="72">
        <v>3520</v>
      </c>
      <c r="K848" s="73">
        <v>0.05</v>
      </c>
      <c r="L848" s="72">
        <v>2000</v>
      </c>
      <c r="M848" s="68">
        <f t="shared" si="67"/>
        <v>13376</v>
      </c>
      <c r="N848" s="68">
        <f t="shared" si="68"/>
        <v>8000</v>
      </c>
      <c r="O848" s="68">
        <f t="shared" si="69"/>
        <v>5376</v>
      </c>
    </row>
    <row r="849" spans="1:15" x14ac:dyDescent="0.3">
      <c r="A849" s="67" t="s">
        <v>943</v>
      </c>
      <c r="B849" s="70">
        <v>45982</v>
      </c>
      <c r="C849" s="67">
        <f t="shared" si="65"/>
        <v>2025</v>
      </c>
      <c r="D849" s="67" t="str">
        <f t="shared" si="66"/>
        <v>11 Nov</v>
      </c>
      <c r="E849" s="67" t="s">
        <v>48</v>
      </c>
      <c r="F849" s="67" t="s">
        <v>70</v>
      </c>
      <c r="G849" s="67" t="s">
        <v>41</v>
      </c>
      <c r="H849" s="67" t="s">
        <v>98</v>
      </c>
      <c r="I849" s="71">
        <v>1</v>
      </c>
      <c r="J849" s="72">
        <v>6470</v>
      </c>
      <c r="K849" s="73">
        <v>0.05</v>
      </c>
      <c r="L849" s="72">
        <v>4200</v>
      </c>
      <c r="M849" s="68">
        <f t="shared" si="67"/>
        <v>6146.5</v>
      </c>
      <c r="N849" s="68">
        <f t="shared" si="68"/>
        <v>4200</v>
      </c>
      <c r="O849" s="68">
        <f t="shared" si="69"/>
        <v>1946.5</v>
      </c>
    </row>
    <row r="850" spans="1:15" x14ac:dyDescent="0.3">
      <c r="A850" s="67" t="s">
        <v>944</v>
      </c>
      <c r="B850" s="70">
        <v>45983</v>
      </c>
      <c r="C850" s="67">
        <f t="shared" si="65"/>
        <v>2025</v>
      </c>
      <c r="D850" s="67" t="str">
        <f t="shared" si="66"/>
        <v>11 Nov</v>
      </c>
      <c r="E850" s="67" t="s">
        <v>42</v>
      </c>
      <c r="F850" s="67" t="s">
        <v>70</v>
      </c>
      <c r="G850" s="67" t="s">
        <v>58</v>
      </c>
      <c r="H850" s="67" t="s">
        <v>89</v>
      </c>
      <c r="I850" s="71">
        <v>5</v>
      </c>
      <c r="J850" s="72">
        <v>8860</v>
      </c>
      <c r="K850" s="73">
        <v>0.15</v>
      </c>
      <c r="L850" s="72">
        <v>6000</v>
      </c>
      <c r="M850" s="68">
        <f t="shared" si="67"/>
        <v>37655</v>
      </c>
      <c r="N850" s="68">
        <f t="shared" si="68"/>
        <v>30000</v>
      </c>
      <c r="O850" s="68">
        <f t="shared" si="69"/>
        <v>7655</v>
      </c>
    </row>
    <row r="851" spans="1:15" x14ac:dyDescent="0.3">
      <c r="A851" s="67" t="s">
        <v>945</v>
      </c>
      <c r="B851" s="70">
        <v>45983</v>
      </c>
      <c r="C851" s="67">
        <f t="shared" si="65"/>
        <v>2025</v>
      </c>
      <c r="D851" s="67" t="str">
        <f t="shared" si="66"/>
        <v>11 Nov</v>
      </c>
      <c r="E851" s="67" t="s">
        <v>48</v>
      </c>
      <c r="F851" s="67" t="s">
        <v>69</v>
      </c>
      <c r="G851" s="67" t="s">
        <v>50</v>
      </c>
      <c r="H851" s="67" t="s">
        <v>95</v>
      </c>
      <c r="I851" s="71">
        <v>2</v>
      </c>
      <c r="J851" s="72">
        <v>57460</v>
      </c>
      <c r="K851" s="73">
        <v>0</v>
      </c>
      <c r="L851" s="72">
        <v>42000</v>
      </c>
      <c r="M851" s="68">
        <f t="shared" si="67"/>
        <v>114920</v>
      </c>
      <c r="N851" s="68">
        <f t="shared" si="68"/>
        <v>84000</v>
      </c>
      <c r="O851" s="68">
        <f t="shared" si="69"/>
        <v>30920</v>
      </c>
    </row>
    <row r="852" spans="1:15" x14ac:dyDescent="0.3">
      <c r="A852" s="67" t="s">
        <v>946</v>
      </c>
      <c r="B852" s="70">
        <v>45984</v>
      </c>
      <c r="C852" s="67">
        <f t="shared" si="65"/>
        <v>2025</v>
      </c>
      <c r="D852" s="67" t="str">
        <f t="shared" si="66"/>
        <v>11 Nov</v>
      </c>
      <c r="E852" s="67" t="s">
        <v>36</v>
      </c>
      <c r="F852" s="67" t="s">
        <v>66</v>
      </c>
      <c r="G852" s="67" t="s">
        <v>65</v>
      </c>
      <c r="H852" s="67" t="s">
        <v>91</v>
      </c>
      <c r="I852" s="71">
        <v>1</v>
      </c>
      <c r="J852" s="72">
        <v>13580</v>
      </c>
      <c r="K852" s="73">
        <v>0</v>
      </c>
      <c r="L852" s="72">
        <v>9000</v>
      </c>
      <c r="M852" s="68">
        <f t="shared" si="67"/>
        <v>13580</v>
      </c>
      <c r="N852" s="68">
        <f t="shared" si="68"/>
        <v>9000</v>
      </c>
      <c r="O852" s="68">
        <f t="shared" si="69"/>
        <v>4580</v>
      </c>
    </row>
    <row r="853" spans="1:15" x14ac:dyDescent="0.3">
      <c r="A853" s="67" t="s">
        <v>947</v>
      </c>
      <c r="B853" s="70">
        <v>45984</v>
      </c>
      <c r="C853" s="67">
        <f t="shared" si="65"/>
        <v>2025</v>
      </c>
      <c r="D853" s="67" t="str">
        <f t="shared" si="66"/>
        <v>11 Nov</v>
      </c>
      <c r="E853" s="67" t="s">
        <v>45</v>
      </c>
      <c r="F853" s="67" t="s">
        <v>69</v>
      </c>
      <c r="G853" s="67" t="s">
        <v>50</v>
      </c>
      <c r="H853" s="67" t="s">
        <v>87</v>
      </c>
      <c r="I853" s="71">
        <v>2</v>
      </c>
      <c r="J853" s="72">
        <v>53110</v>
      </c>
      <c r="K853" s="73">
        <v>0.15</v>
      </c>
      <c r="L853" s="72">
        <v>42000</v>
      </c>
      <c r="M853" s="68">
        <f t="shared" si="67"/>
        <v>90287</v>
      </c>
      <c r="N853" s="68">
        <f t="shared" si="68"/>
        <v>84000</v>
      </c>
      <c r="O853" s="68">
        <f t="shared" si="69"/>
        <v>6287</v>
      </c>
    </row>
    <row r="854" spans="1:15" x14ac:dyDescent="0.3">
      <c r="A854" s="67" t="s">
        <v>948</v>
      </c>
      <c r="B854" s="70">
        <v>45985</v>
      </c>
      <c r="C854" s="67">
        <f t="shared" si="65"/>
        <v>2025</v>
      </c>
      <c r="D854" s="67" t="str">
        <f t="shared" si="66"/>
        <v>11 Nov</v>
      </c>
      <c r="E854" s="67" t="s">
        <v>45</v>
      </c>
      <c r="F854" s="67" t="s">
        <v>66</v>
      </c>
      <c r="G854" s="67" t="s">
        <v>53</v>
      </c>
      <c r="H854" s="67" t="s">
        <v>93</v>
      </c>
      <c r="I854" s="71">
        <v>1</v>
      </c>
      <c r="J854" s="72">
        <v>11310</v>
      </c>
      <c r="K854" s="73">
        <v>0.05</v>
      </c>
      <c r="L854" s="72">
        <v>8000</v>
      </c>
      <c r="M854" s="68">
        <f t="shared" si="67"/>
        <v>10744.5</v>
      </c>
      <c r="N854" s="68">
        <f t="shared" si="68"/>
        <v>8000</v>
      </c>
      <c r="O854" s="68">
        <f t="shared" si="69"/>
        <v>2744.5</v>
      </c>
    </row>
    <row r="855" spans="1:15" x14ac:dyDescent="0.3">
      <c r="A855" s="67" t="s">
        <v>949</v>
      </c>
      <c r="B855" s="70">
        <v>45985</v>
      </c>
      <c r="C855" s="67">
        <f t="shared" si="65"/>
        <v>2025</v>
      </c>
      <c r="D855" s="67" t="str">
        <f t="shared" si="66"/>
        <v>11 Nov</v>
      </c>
      <c r="E855" s="67" t="s">
        <v>42</v>
      </c>
      <c r="F855" s="67" t="s">
        <v>71</v>
      </c>
      <c r="G855" s="67" t="s">
        <v>55</v>
      </c>
      <c r="H855" s="67" t="s">
        <v>112</v>
      </c>
      <c r="I855" s="71">
        <v>29</v>
      </c>
      <c r="J855" s="72">
        <v>440</v>
      </c>
      <c r="K855" s="73">
        <v>0</v>
      </c>
      <c r="L855" s="72">
        <v>250</v>
      </c>
      <c r="M855" s="68">
        <f t="shared" si="67"/>
        <v>12760</v>
      </c>
      <c r="N855" s="68">
        <f t="shared" si="68"/>
        <v>7250</v>
      </c>
      <c r="O855" s="68">
        <f t="shared" si="69"/>
        <v>5510</v>
      </c>
    </row>
    <row r="856" spans="1:15" x14ac:dyDescent="0.3">
      <c r="A856" s="67" t="s">
        <v>950</v>
      </c>
      <c r="B856" s="70">
        <v>45986</v>
      </c>
      <c r="C856" s="67">
        <f t="shared" si="65"/>
        <v>2025</v>
      </c>
      <c r="D856" s="67" t="str">
        <f t="shared" si="66"/>
        <v>11 Nov</v>
      </c>
      <c r="E856" s="67" t="s">
        <v>45</v>
      </c>
      <c r="F856" s="67" t="s">
        <v>70</v>
      </c>
      <c r="G856" s="67" t="s">
        <v>41</v>
      </c>
      <c r="H856" s="67" t="s">
        <v>87</v>
      </c>
      <c r="I856" s="71">
        <v>4</v>
      </c>
      <c r="J856" s="72">
        <v>6210</v>
      </c>
      <c r="K856" s="73">
        <v>0</v>
      </c>
      <c r="L856" s="72">
        <v>4200</v>
      </c>
      <c r="M856" s="68">
        <f t="shared" si="67"/>
        <v>24840</v>
      </c>
      <c r="N856" s="68">
        <f t="shared" si="68"/>
        <v>16800</v>
      </c>
      <c r="O856" s="68">
        <f t="shared" si="69"/>
        <v>8040</v>
      </c>
    </row>
    <row r="857" spans="1:15" x14ac:dyDescent="0.3">
      <c r="A857" s="67" t="s">
        <v>951</v>
      </c>
      <c r="B857" s="70">
        <v>45987</v>
      </c>
      <c r="C857" s="67">
        <f t="shared" si="65"/>
        <v>2025</v>
      </c>
      <c r="D857" s="67" t="str">
        <f t="shared" si="66"/>
        <v>11 Nov</v>
      </c>
      <c r="E857" s="67" t="s">
        <v>48</v>
      </c>
      <c r="F857" s="67" t="s">
        <v>71</v>
      </c>
      <c r="G857" s="67" t="s">
        <v>44</v>
      </c>
      <c r="H857" s="67" t="s">
        <v>95</v>
      </c>
      <c r="I857" s="71">
        <v>20</v>
      </c>
      <c r="J857" s="72">
        <v>700</v>
      </c>
      <c r="K857" s="73">
        <v>0</v>
      </c>
      <c r="L857" s="72">
        <v>380</v>
      </c>
      <c r="M857" s="68">
        <f t="shared" si="67"/>
        <v>14000</v>
      </c>
      <c r="N857" s="68">
        <f t="shared" si="68"/>
        <v>7600</v>
      </c>
      <c r="O857" s="68">
        <f t="shared" si="69"/>
        <v>6400</v>
      </c>
    </row>
    <row r="858" spans="1:15" x14ac:dyDescent="0.3">
      <c r="A858" s="67" t="s">
        <v>952</v>
      </c>
      <c r="B858" s="70">
        <v>45987</v>
      </c>
      <c r="C858" s="67">
        <f t="shared" si="65"/>
        <v>2025</v>
      </c>
      <c r="D858" s="67" t="str">
        <f t="shared" si="66"/>
        <v>11 Nov</v>
      </c>
      <c r="E858" s="67" t="s">
        <v>42</v>
      </c>
      <c r="F858" s="67" t="s">
        <v>70</v>
      </c>
      <c r="G858" s="67" t="s">
        <v>41</v>
      </c>
      <c r="H858" s="67" t="s">
        <v>89</v>
      </c>
      <c r="I858" s="71">
        <v>4</v>
      </c>
      <c r="J858" s="72">
        <v>6660</v>
      </c>
      <c r="K858" s="73">
        <v>0</v>
      </c>
      <c r="L858" s="72">
        <v>4200</v>
      </c>
      <c r="M858" s="68">
        <f t="shared" si="67"/>
        <v>26640</v>
      </c>
      <c r="N858" s="68">
        <f t="shared" si="68"/>
        <v>16800</v>
      </c>
      <c r="O858" s="68">
        <f t="shared" si="69"/>
        <v>9840</v>
      </c>
    </row>
    <row r="859" spans="1:15" x14ac:dyDescent="0.3">
      <c r="A859" s="67" t="s">
        <v>953</v>
      </c>
      <c r="B859" s="70">
        <v>45987</v>
      </c>
      <c r="C859" s="67">
        <f t="shared" si="65"/>
        <v>2025</v>
      </c>
      <c r="D859" s="67" t="str">
        <f t="shared" si="66"/>
        <v>11 Nov</v>
      </c>
      <c r="E859" s="67" t="s">
        <v>42</v>
      </c>
      <c r="F859" s="67" t="s">
        <v>66</v>
      </c>
      <c r="G859" s="67" t="s">
        <v>65</v>
      </c>
      <c r="H859" s="67" t="s">
        <v>89</v>
      </c>
      <c r="I859" s="71">
        <v>3</v>
      </c>
      <c r="J859" s="72">
        <v>12850</v>
      </c>
      <c r="K859" s="73">
        <v>0</v>
      </c>
      <c r="L859" s="72">
        <v>9000</v>
      </c>
      <c r="M859" s="68">
        <f t="shared" si="67"/>
        <v>38550</v>
      </c>
      <c r="N859" s="68">
        <f t="shared" si="68"/>
        <v>27000</v>
      </c>
      <c r="O859" s="68">
        <f t="shared" si="69"/>
        <v>11550</v>
      </c>
    </row>
    <row r="860" spans="1:15" x14ac:dyDescent="0.3">
      <c r="A860" s="67" t="s">
        <v>954</v>
      </c>
      <c r="B860" s="70">
        <v>45987</v>
      </c>
      <c r="C860" s="67">
        <f t="shared" si="65"/>
        <v>2025</v>
      </c>
      <c r="D860" s="67" t="str">
        <f t="shared" si="66"/>
        <v>11 Nov</v>
      </c>
      <c r="E860" s="67" t="s">
        <v>39</v>
      </c>
      <c r="F860" s="67" t="s">
        <v>71</v>
      </c>
      <c r="G860" s="67" t="s">
        <v>55</v>
      </c>
      <c r="H860" s="67" t="s">
        <v>107</v>
      </c>
      <c r="I860" s="71">
        <v>13</v>
      </c>
      <c r="J860" s="72">
        <v>440</v>
      </c>
      <c r="K860" s="73">
        <v>0.05</v>
      </c>
      <c r="L860" s="72">
        <v>250</v>
      </c>
      <c r="M860" s="68">
        <f t="shared" si="67"/>
        <v>5434</v>
      </c>
      <c r="N860" s="68">
        <f t="shared" si="68"/>
        <v>3250</v>
      </c>
      <c r="O860" s="68">
        <f t="shared" si="69"/>
        <v>2184</v>
      </c>
    </row>
    <row r="861" spans="1:15" x14ac:dyDescent="0.3">
      <c r="A861" s="67" t="s">
        <v>955</v>
      </c>
      <c r="B861" s="70">
        <v>45988</v>
      </c>
      <c r="C861" s="67">
        <f t="shared" si="65"/>
        <v>2025</v>
      </c>
      <c r="D861" s="67" t="str">
        <f t="shared" si="66"/>
        <v>11 Nov</v>
      </c>
      <c r="E861" s="67" t="s">
        <v>42</v>
      </c>
      <c r="F861" s="67" t="s">
        <v>66</v>
      </c>
      <c r="G861" s="67" t="s">
        <v>38</v>
      </c>
      <c r="H861" s="67" t="s">
        <v>112</v>
      </c>
      <c r="I861" s="71">
        <v>1</v>
      </c>
      <c r="J861" s="72">
        <v>14560</v>
      </c>
      <c r="K861" s="73">
        <v>0</v>
      </c>
      <c r="L861" s="72">
        <v>9500</v>
      </c>
      <c r="M861" s="68">
        <f t="shared" si="67"/>
        <v>14560</v>
      </c>
      <c r="N861" s="68">
        <f t="shared" si="68"/>
        <v>9500</v>
      </c>
      <c r="O861" s="68">
        <f t="shared" si="69"/>
        <v>5060</v>
      </c>
    </row>
    <row r="862" spans="1:15" x14ac:dyDescent="0.3">
      <c r="A862" s="67" t="s">
        <v>956</v>
      </c>
      <c r="B862" s="70">
        <v>45988</v>
      </c>
      <c r="C862" s="67">
        <f t="shared" si="65"/>
        <v>2025</v>
      </c>
      <c r="D862" s="67" t="str">
        <f t="shared" si="66"/>
        <v>11 Nov</v>
      </c>
      <c r="E862" s="67" t="s">
        <v>45</v>
      </c>
      <c r="F862" s="67" t="s">
        <v>66</v>
      </c>
      <c r="G862" s="67" t="s">
        <v>38</v>
      </c>
      <c r="H862" s="67" t="s">
        <v>87</v>
      </c>
      <c r="I862" s="71">
        <v>3</v>
      </c>
      <c r="J862" s="72">
        <v>14030</v>
      </c>
      <c r="K862" s="73">
        <v>0.15</v>
      </c>
      <c r="L862" s="72">
        <v>9500</v>
      </c>
      <c r="M862" s="68">
        <f t="shared" si="67"/>
        <v>35776.5</v>
      </c>
      <c r="N862" s="68">
        <f t="shared" si="68"/>
        <v>28500</v>
      </c>
      <c r="O862" s="68">
        <f t="shared" si="69"/>
        <v>7276.5</v>
      </c>
    </row>
    <row r="863" spans="1:15" x14ac:dyDescent="0.3">
      <c r="A863" s="67" t="s">
        <v>957</v>
      </c>
      <c r="B863" s="70">
        <v>45989</v>
      </c>
      <c r="C863" s="67">
        <f t="shared" si="65"/>
        <v>2025</v>
      </c>
      <c r="D863" s="67" t="str">
        <f t="shared" si="66"/>
        <v>11 Nov</v>
      </c>
      <c r="E863" s="67" t="s">
        <v>42</v>
      </c>
      <c r="F863" s="67" t="s">
        <v>71</v>
      </c>
      <c r="G863" s="67" t="s">
        <v>44</v>
      </c>
      <c r="H863" s="67" t="s">
        <v>112</v>
      </c>
      <c r="I863" s="71">
        <v>6</v>
      </c>
      <c r="J863" s="72">
        <v>690</v>
      </c>
      <c r="K863" s="73">
        <v>0</v>
      </c>
      <c r="L863" s="72">
        <v>380</v>
      </c>
      <c r="M863" s="68">
        <f t="shared" si="67"/>
        <v>4140</v>
      </c>
      <c r="N863" s="68">
        <f t="shared" si="68"/>
        <v>2280</v>
      </c>
      <c r="O863" s="68">
        <f t="shared" si="69"/>
        <v>1860</v>
      </c>
    </row>
    <row r="864" spans="1:15" x14ac:dyDescent="0.3">
      <c r="A864" s="67" t="s">
        <v>958</v>
      </c>
      <c r="B864" s="70">
        <v>45989</v>
      </c>
      <c r="C864" s="67">
        <f t="shared" si="65"/>
        <v>2025</v>
      </c>
      <c r="D864" s="67" t="str">
        <f t="shared" si="66"/>
        <v>11 Nov</v>
      </c>
      <c r="E864" s="67" t="s">
        <v>45</v>
      </c>
      <c r="F864" s="67" t="s">
        <v>69</v>
      </c>
      <c r="G864" s="67" t="s">
        <v>60</v>
      </c>
      <c r="H864" s="67" t="s">
        <v>87</v>
      </c>
      <c r="I864" s="71">
        <v>1</v>
      </c>
      <c r="J864" s="72">
        <v>25080</v>
      </c>
      <c r="K864" s="73">
        <v>0</v>
      </c>
      <c r="L864" s="72">
        <v>18000</v>
      </c>
      <c r="M864" s="68">
        <f t="shared" si="67"/>
        <v>25080</v>
      </c>
      <c r="N864" s="68">
        <f t="shared" si="68"/>
        <v>18000</v>
      </c>
      <c r="O864" s="68">
        <f t="shared" si="69"/>
        <v>7080</v>
      </c>
    </row>
    <row r="865" spans="1:15" x14ac:dyDescent="0.3">
      <c r="A865" s="67" t="s">
        <v>959</v>
      </c>
      <c r="B865" s="70">
        <v>45989</v>
      </c>
      <c r="C865" s="67">
        <f t="shared" si="65"/>
        <v>2025</v>
      </c>
      <c r="D865" s="67" t="str">
        <f t="shared" si="66"/>
        <v>11 Nov</v>
      </c>
      <c r="E865" s="67" t="s">
        <v>48</v>
      </c>
      <c r="F865" s="67" t="s">
        <v>69</v>
      </c>
      <c r="G865" s="67" t="s">
        <v>50</v>
      </c>
      <c r="H865" s="67" t="s">
        <v>95</v>
      </c>
      <c r="I865" s="71">
        <v>1</v>
      </c>
      <c r="J865" s="72">
        <v>56790</v>
      </c>
      <c r="K865" s="73">
        <v>0</v>
      </c>
      <c r="L865" s="72">
        <v>42000</v>
      </c>
      <c r="M865" s="68">
        <f t="shared" si="67"/>
        <v>56790</v>
      </c>
      <c r="N865" s="68">
        <f t="shared" si="68"/>
        <v>42000</v>
      </c>
      <c r="O865" s="68">
        <f t="shared" si="69"/>
        <v>14790</v>
      </c>
    </row>
    <row r="866" spans="1:15" x14ac:dyDescent="0.3">
      <c r="A866" s="67" t="s">
        <v>960</v>
      </c>
      <c r="B866" s="70">
        <v>45989</v>
      </c>
      <c r="C866" s="67">
        <f t="shared" si="65"/>
        <v>2025</v>
      </c>
      <c r="D866" s="67" t="str">
        <f t="shared" si="66"/>
        <v>11 Nov</v>
      </c>
      <c r="E866" s="67" t="s">
        <v>48</v>
      </c>
      <c r="F866" s="67" t="s">
        <v>70</v>
      </c>
      <c r="G866" s="67" t="s">
        <v>62</v>
      </c>
      <c r="H866" s="67" t="s">
        <v>95</v>
      </c>
      <c r="I866" s="71">
        <v>1</v>
      </c>
      <c r="J866" s="72">
        <v>18840</v>
      </c>
      <c r="K866" s="73">
        <v>0.05</v>
      </c>
      <c r="L866" s="72">
        <v>12500</v>
      </c>
      <c r="M866" s="68">
        <f t="shared" si="67"/>
        <v>17898</v>
      </c>
      <c r="N866" s="68">
        <f t="shared" si="68"/>
        <v>12500</v>
      </c>
      <c r="O866" s="68">
        <f t="shared" si="69"/>
        <v>5398</v>
      </c>
    </row>
    <row r="867" spans="1:15" x14ac:dyDescent="0.3">
      <c r="A867" s="67" t="s">
        <v>961</v>
      </c>
      <c r="B867" s="70">
        <v>45992</v>
      </c>
      <c r="C867" s="67">
        <f t="shared" si="65"/>
        <v>2025</v>
      </c>
      <c r="D867" s="67" t="str">
        <f t="shared" si="66"/>
        <v>12 Dec</v>
      </c>
      <c r="E867" s="67" t="s">
        <v>42</v>
      </c>
      <c r="F867" s="67" t="s">
        <v>66</v>
      </c>
      <c r="G867" s="67" t="s">
        <v>53</v>
      </c>
      <c r="H867" s="67" t="s">
        <v>89</v>
      </c>
      <c r="I867" s="71">
        <v>3</v>
      </c>
      <c r="J867" s="72">
        <v>11430</v>
      </c>
      <c r="K867" s="73">
        <v>0.05</v>
      </c>
      <c r="L867" s="72">
        <v>8000</v>
      </c>
      <c r="M867" s="68">
        <f t="shared" si="67"/>
        <v>32575.5</v>
      </c>
      <c r="N867" s="68">
        <f t="shared" si="68"/>
        <v>24000</v>
      </c>
      <c r="O867" s="68">
        <f t="shared" si="69"/>
        <v>8575.5</v>
      </c>
    </row>
    <row r="868" spans="1:15" x14ac:dyDescent="0.3">
      <c r="A868" s="67" t="s">
        <v>962</v>
      </c>
      <c r="B868" s="70">
        <v>45992</v>
      </c>
      <c r="C868" s="67">
        <f t="shared" si="65"/>
        <v>2025</v>
      </c>
      <c r="D868" s="67" t="str">
        <f t="shared" si="66"/>
        <v>12 Dec</v>
      </c>
      <c r="E868" s="67" t="s">
        <v>42</v>
      </c>
      <c r="F868" s="67" t="s">
        <v>66</v>
      </c>
      <c r="G868" s="67" t="s">
        <v>38</v>
      </c>
      <c r="H868" s="67" t="s">
        <v>89</v>
      </c>
      <c r="I868" s="71">
        <v>2</v>
      </c>
      <c r="J868" s="72">
        <v>14120</v>
      </c>
      <c r="K868" s="73">
        <v>0.05</v>
      </c>
      <c r="L868" s="72">
        <v>9500</v>
      </c>
      <c r="M868" s="68">
        <f t="shared" si="67"/>
        <v>26828</v>
      </c>
      <c r="N868" s="68">
        <f t="shared" si="68"/>
        <v>19000</v>
      </c>
      <c r="O868" s="68">
        <f t="shared" si="69"/>
        <v>7828</v>
      </c>
    </row>
    <row r="869" spans="1:15" x14ac:dyDescent="0.3">
      <c r="A869" s="67" t="s">
        <v>963</v>
      </c>
      <c r="B869" s="70">
        <v>45992</v>
      </c>
      <c r="C869" s="67">
        <f t="shared" si="65"/>
        <v>2025</v>
      </c>
      <c r="D869" s="67" t="str">
        <f t="shared" si="66"/>
        <v>12 Dec</v>
      </c>
      <c r="E869" s="67" t="s">
        <v>45</v>
      </c>
      <c r="F869" s="67" t="s">
        <v>70</v>
      </c>
      <c r="G869" s="67" t="s">
        <v>58</v>
      </c>
      <c r="H869" s="67" t="s">
        <v>93</v>
      </c>
      <c r="I869" s="71">
        <v>4</v>
      </c>
      <c r="J869" s="72">
        <v>9290</v>
      </c>
      <c r="K869" s="73">
        <v>0.15</v>
      </c>
      <c r="L869" s="72">
        <v>6000</v>
      </c>
      <c r="M869" s="68">
        <f t="shared" si="67"/>
        <v>31586</v>
      </c>
      <c r="N869" s="68">
        <f t="shared" si="68"/>
        <v>24000</v>
      </c>
      <c r="O869" s="68">
        <f t="shared" si="69"/>
        <v>7586</v>
      </c>
    </row>
    <row r="870" spans="1:15" x14ac:dyDescent="0.3">
      <c r="A870" s="67" t="s">
        <v>964</v>
      </c>
      <c r="B870" s="70">
        <v>45994</v>
      </c>
      <c r="C870" s="67">
        <f t="shared" si="65"/>
        <v>2025</v>
      </c>
      <c r="D870" s="67" t="str">
        <f t="shared" si="66"/>
        <v>12 Dec</v>
      </c>
      <c r="E870" s="67" t="s">
        <v>36</v>
      </c>
      <c r="F870" s="67" t="s">
        <v>66</v>
      </c>
      <c r="G870" s="67" t="s">
        <v>53</v>
      </c>
      <c r="H870" s="67" t="s">
        <v>91</v>
      </c>
      <c r="I870" s="71">
        <v>3</v>
      </c>
      <c r="J870" s="72">
        <v>11470</v>
      </c>
      <c r="K870" s="73">
        <v>0.15</v>
      </c>
      <c r="L870" s="72">
        <v>8000</v>
      </c>
      <c r="M870" s="68">
        <f t="shared" si="67"/>
        <v>29248.5</v>
      </c>
      <c r="N870" s="68">
        <f t="shared" si="68"/>
        <v>24000</v>
      </c>
      <c r="O870" s="68">
        <f t="shared" si="69"/>
        <v>5248.5</v>
      </c>
    </row>
    <row r="871" spans="1:15" x14ac:dyDescent="0.3">
      <c r="A871" s="67" t="s">
        <v>965</v>
      </c>
      <c r="B871" s="70">
        <v>45995</v>
      </c>
      <c r="C871" s="67">
        <f t="shared" si="65"/>
        <v>2025</v>
      </c>
      <c r="D871" s="67" t="str">
        <f t="shared" si="66"/>
        <v>12 Dec</v>
      </c>
      <c r="E871" s="67" t="s">
        <v>48</v>
      </c>
      <c r="F871" s="67" t="s">
        <v>70</v>
      </c>
      <c r="G871" s="67" t="s">
        <v>58</v>
      </c>
      <c r="H871" s="67" t="s">
        <v>98</v>
      </c>
      <c r="I871" s="71">
        <v>4</v>
      </c>
      <c r="J871" s="72">
        <v>8660</v>
      </c>
      <c r="K871" s="73">
        <v>0.15</v>
      </c>
      <c r="L871" s="72">
        <v>6000</v>
      </c>
      <c r="M871" s="68">
        <f t="shared" si="67"/>
        <v>29444</v>
      </c>
      <c r="N871" s="68">
        <f t="shared" si="68"/>
        <v>24000</v>
      </c>
      <c r="O871" s="68">
        <f t="shared" si="69"/>
        <v>5444</v>
      </c>
    </row>
    <row r="872" spans="1:15" x14ac:dyDescent="0.3">
      <c r="A872" s="67" t="s">
        <v>966</v>
      </c>
      <c r="B872" s="70">
        <v>45995</v>
      </c>
      <c r="C872" s="67">
        <f t="shared" si="65"/>
        <v>2025</v>
      </c>
      <c r="D872" s="67" t="str">
        <f t="shared" si="66"/>
        <v>12 Dec</v>
      </c>
      <c r="E872" s="67" t="s">
        <v>45</v>
      </c>
      <c r="F872" s="67" t="s">
        <v>71</v>
      </c>
      <c r="G872" s="67" t="s">
        <v>55</v>
      </c>
      <c r="H872" s="67" t="s">
        <v>87</v>
      </c>
      <c r="I872" s="71">
        <v>28</v>
      </c>
      <c r="J872" s="72">
        <v>430</v>
      </c>
      <c r="K872" s="73">
        <v>0.05</v>
      </c>
      <c r="L872" s="72">
        <v>250</v>
      </c>
      <c r="M872" s="68">
        <f t="shared" si="67"/>
        <v>11438</v>
      </c>
      <c r="N872" s="68">
        <f t="shared" si="68"/>
        <v>7000</v>
      </c>
      <c r="O872" s="68">
        <f t="shared" si="69"/>
        <v>4438</v>
      </c>
    </row>
    <row r="873" spans="1:15" x14ac:dyDescent="0.3">
      <c r="A873" s="67" t="s">
        <v>967</v>
      </c>
      <c r="B873" s="70">
        <v>45996</v>
      </c>
      <c r="C873" s="67">
        <f t="shared" si="65"/>
        <v>2025</v>
      </c>
      <c r="D873" s="67" t="str">
        <f t="shared" si="66"/>
        <v>12 Dec</v>
      </c>
      <c r="E873" s="67" t="s">
        <v>45</v>
      </c>
      <c r="F873" s="67" t="s">
        <v>69</v>
      </c>
      <c r="G873" s="67" t="s">
        <v>50</v>
      </c>
      <c r="H873" s="67" t="s">
        <v>87</v>
      </c>
      <c r="I873" s="71">
        <v>2</v>
      </c>
      <c r="J873" s="72">
        <v>54550</v>
      </c>
      <c r="K873" s="73">
        <v>0.05</v>
      </c>
      <c r="L873" s="72">
        <v>42000</v>
      </c>
      <c r="M873" s="68">
        <f t="shared" si="67"/>
        <v>103645</v>
      </c>
      <c r="N873" s="68">
        <f t="shared" si="68"/>
        <v>84000</v>
      </c>
      <c r="O873" s="68">
        <f t="shared" si="69"/>
        <v>19645</v>
      </c>
    </row>
    <row r="874" spans="1:15" x14ac:dyDescent="0.3">
      <c r="A874" s="67" t="s">
        <v>968</v>
      </c>
      <c r="B874" s="70">
        <v>45997</v>
      </c>
      <c r="C874" s="67">
        <f t="shared" si="65"/>
        <v>2025</v>
      </c>
      <c r="D874" s="67" t="str">
        <f t="shared" si="66"/>
        <v>12 Dec</v>
      </c>
      <c r="E874" s="67" t="s">
        <v>48</v>
      </c>
      <c r="F874" s="67" t="s">
        <v>70</v>
      </c>
      <c r="G874" s="67" t="s">
        <v>58</v>
      </c>
      <c r="H874" s="67" t="s">
        <v>98</v>
      </c>
      <c r="I874" s="71">
        <v>3</v>
      </c>
      <c r="J874" s="72">
        <v>8580</v>
      </c>
      <c r="K874" s="73">
        <v>0</v>
      </c>
      <c r="L874" s="72">
        <v>6000</v>
      </c>
      <c r="M874" s="68">
        <f t="shared" si="67"/>
        <v>25740</v>
      </c>
      <c r="N874" s="68">
        <f t="shared" si="68"/>
        <v>18000</v>
      </c>
      <c r="O874" s="68">
        <f t="shared" si="69"/>
        <v>7740</v>
      </c>
    </row>
    <row r="875" spans="1:15" x14ac:dyDescent="0.3">
      <c r="A875" s="67" t="s">
        <v>969</v>
      </c>
      <c r="B875" s="70">
        <v>45999</v>
      </c>
      <c r="C875" s="67">
        <f t="shared" si="65"/>
        <v>2025</v>
      </c>
      <c r="D875" s="67" t="str">
        <f t="shared" si="66"/>
        <v>12 Dec</v>
      </c>
      <c r="E875" s="67" t="s">
        <v>45</v>
      </c>
      <c r="F875" s="67" t="s">
        <v>69</v>
      </c>
      <c r="G875" s="67" t="s">
        <v>60</v>
      </c>
      <c r="H875" s="67" t="s">
        <v>87</v>
      </c>
      <c r="I875" s="71">
        <v>3</v>
      </c>
      <c r="J875" s="72">
        <v>24520</v>
      </c>
      <c r="K875" s="73">
        <v>0.05</v>
      </c>
      <c r="L875" s="72">
        <v>18000</v>
      </c>
      <c r="M875" s="68">
        <f t="shared" si="67"/>
        <v>69882</v>
      </c>
      <c r="N875" s="68">
        <f t="shared" si="68"/>
        <v>54000</v>
      </c>
      <c r="O875" s="68">
        <f t="shared" si="69"/>
        <v>15882</v>
      </c>
    </row>
    <row r="876" spans="1:15" x14ac:dyDescent="0.3">
      <c r="A876" s="67" t="s">
        <v>970</v>
      </c>
      <c r="B876" s="70">
        <v>45999</v>
      </c>
      <c r="C876" s="67">
        <f t="shared" si="65"/>
        <v>2025</v>
      </c>
      <c r="D876" s="67" t="str">
        <f t="shared" si="66"/>
        <v>12 Dec</v>
      </c>
      <c r="E876" s="67" t="s">
        <v>42</v>
      </c>
      <c r="F876" s="67" t="s">
        <v>66</v>
      </c>
      <c r="G876" s="67" t="s">
        <v>53</v>
      </c>
      <c r="H876" s="67" t="s">
        <v>112</v>
      </c>
      <c r="I876" s="71">
        <v>3</v>
      </c>
      <c r="J876" s="72">
        <v>11510</v>
      </c>
      <c r="K876" s="73">
        <v>0.05</v>
      </c>
      <c r="L876" s="72">
        <v>8000</v>
      </c>
      <c r="M876" s="68">
        <f t="shared" si="67"/>
        <v>32803.5</v>
      </c>
      <c r="N876" s="68">
        <f t="shared" si="68"/>
        <v>24000</v>
      </c>
      <c r="O876" s="68">
        <f t="shared" si="69"/>
        <v>8803.5</v>
      </c>
    </row>
    <row r="877" spans="1:15" x14ac:dyDescent="0.3">
      <c r="A877" s="67" t="s">
        <v>971</v>
      </c>
      <c r="B877" s="70">
        <v>46000</v>
      </c>
      <c r="C877" s="67">
        <f t="shared" si="65"/>
        <v>2025</v>
      </c>
      <c r="D877" s="67" t="str">
        <f t="shared" si="66"/>
        <v>12 Dec</v>
      </c>
      <c r="E877" s="67" t="s">
        <v>39</v>
      </c>
      <c r="F877" s="67" t="s">
        <v>69</v>
      </c>
      <c r="G877" s="67" t="s">
        <v>50</v>
      </c>
      <c r="H877" s="67" t="s">
        <v>100</v>
      </c>
      <c r="I877" s="71">
        <v>1</v>
      </c>
      <c r="J877" s="72">
        <v>53590</v>
      </c>
      <c r="K877" s="73">
        <v>0</v>
      </c>
      <c r="L877" s="72">
        <v>42000</v>
      </c>
      <c r="M877" s="68">
        <f t="shared" si="67"/>
        <v>53590</v>
      </c>
      <c r="N877" s="68">
        <f t="shared" si="68"/>
        <v>42000</v>
      </c>
      <c r="O877" s="68">
        <f t="shared" si="69"/>
        <v>11590</v>
      </c>
    </row>
    <row r="878" spans="1:15" x14ac:dyDescent="0.3">
      <c r="A878" s="67" t="s">
        <v>972</v>
      </c>
      <c r="B878" s="70">
        <v>46001</v>
      </c>
      <c r="C878" s="67">
        <f t="shared" si="65"/>
        <v>2025</v>
      </c>
      <c r="D878" s="67" t="str">
        <f t="shared" si="66"/>
        <v>12 Dec</v>
      </c>
      <c r="E878" s="67" t="s">
        <v>45</v>
      </c>
      <c r="F878" s="67" t="s">
        <v>70</v>
      </c>
      <c r="G878" s="67" t="s">
        <v>62</v>
      </c>
      <c r="H878" s="67" t="s">
        <v>87</v>
      </c>
      <c r="I878" s="71">
        <v>1</v>
      </c>
      <c r="J878" s="72">
        <v>18800</v>
      </c>
      <c r="K878" s="73">
        <v>0</v>
      </c>
      <c r="L878" s="72">
        <v>12500</v>
      </c>
      <c r="M878" s="68">
        <f t="shared" si="67"/>
        <v>18800</v>
      </c>
      <c r="N878" s="68">
        <f t="shared" si="68"/>
        <v>12500</v>
      </c>
      <c r="O878" s="68">
        <f t="shared" si="69"/>
        <v>6300</v>
      </c>
    </row>
    <row r="879" spans="1:15" x14ac:dyDescent="0.3">
      <c r="A879" s="67" t="s">
        <v>973</v>
      </c>
      <c r="B879" s="70">
        <v>46002</v>
      </c>
      <c r="C879" s="67">
        <f t="shared" si="65"/>
        <v>2025</v>
      </c>
      <c r="D879" s="67" t="str">
        <f t="shared" si="66"/>
        <v>12 Dec</v>
      </c>
      <c r="E879" s="67" t="s">
        <v>36</v>
      </c>
      <c r="F879" s="67" t="s">
        <v>69</v>
      </c>
      <c r="G879" s="67" t="s">
        <v>60</v>
      </c>
      <c r="H879" s="67" t="s">
        <v>91</v>
      </c>
      <c r="I879" s="71">
        <v>3</v>
      </c>
      <c r="J879" s="72">
        <v>24440</v>
      </c>
      <c r="K879" s="73">
        <v>0.1</v>
      </c>
      <c r="L879" s="72">
        <v>18000</v>
      </c>
      <c r="M879" s="68">
        <f t="shared" si="67"/>
        <v>65988</v>
      </c>
      <c r="N879" s="68">
        <f t="shared" si="68"/>
        <v>54000</v>
      </c>
      <c r="O879" s="68">
        <f t="shared" si="69"/>
        <v>11988</v>
      </c>
    </row>
    <row r="880" spans="1:15" x14ac:dyDescent="0.3">
      <c r="A880" s="67" t="s">
        <v>974</v>
      </c>
      <c r="B880" s="70">
        <v>46003</v>
      </c>
      <c r="C880" s="67">
        <f t="shared" si="65"/>
        <v>2025</v>
      </c>
      <c r="D880" s="67" t="str">
        <f t="shared" si="66"/>
        <v>12 Dec</v>
      </c>
      <c r="E880" s="67" t="s">
        <v>39</v>
      </c>
      <c r="F880" s="67" t="s">
        <v>66</v>
      </c>
      <c r="G880" s="67" t="s">
        <v>38</v>
      </c>
      <c r="H880" s="67" t="s">
        <v>100</v>
      </c>
      <c r="I880" s="71">
        <v>3</v>
      </c>
      <c r="J880" s="72">
        <v>14040</v>
      </c>
      <c r="K880" s="73">
        <v>0</v>
      </c>
      <c r="L880" s="72">
        <v>9500</v>
      </c>
      <c r="M880" s="68">
        <f t="shared" si="67"/>
        <v>42120</v>
      </c>
      <c r="N880" s="68">
        <f t="shared" si="68"/>
        <v>28500</v>
      </c>
      <c r="O880" s="68">
        <f t="shared" si="69"/>
        <v>13620</v>
      </c>
    </row>
    <row r="881" spans="1:15" x14ac:dyDescent="0.3">
      <c r="A881" s="67" t="s">
        <v>975</v>
      </c>
      <c r="B881" s="70">
        <v>46003</v>
      </c>
      <c r="C881" s="67">
        <f t="shared" si="65"/>
        <v>2025</v>
      </c>
      <c r="D881" s="67" t="str">
        <f t="shared" si="66"/>
        <v>12 Dec</v>
      </c>
      <c r="E881" s="67" t="s">
        <v>45</v>
      </c>
      <c r="F881" s="67" t="s">
        <v>70</v>
      </c>
      <c r="G881" s="67" t="s">
        <v>62</v>
      </c>
      <c r="H881" s="67" t="s">
        <v>93</v>
      </c>
      <c r="I881" s="71">
        <v>3</v>
      </c>
      <c r="J881" s="72">
        <v>18460</v>
      </c>
      <c r="K881" s="73">
        <v>0.1</v>
      </c>
      <c r="L881" s="72">
        <v>12500</v>
      </c>
      <c r="M881" s="68">
        <f t="shared" si="67"/>
        <v>49842</v>
      </c>
      <c r="N881" s="68">
        <f t="shared" si="68"/>
        <v>37500</v>
      </c>
      <c r="O881" s="68">
        <f t="shared" si="69"/>
        <v>12342</v>
      </c>
    </row>
    <row r="882" spans="1:15" x14ac:dyDescent="0.3">
      <c r="A882" s="67" t="s">
        <v>976</v>
      </c>
      <c r="B882" s="70">
        <v>46003</v>
      </c>
      <c r="C882" s="67">
        <f t="shared" si="65"/>
        <v>2025</v>
      </c>
      <c r="D882" s="67" t="str">
        <f t="shared" si="66"/>
        <v>12 Dec</v>
      </c>
      <c r="E882" s="67" t="s">
        <v>39</v>
      </c>
      <c r="F882" s="67" t="s">
        <v>69</v>
      </c>
      <c r="G882" s="67" t="s">
        <v>60</v>
      </c>
      <c r="H882" s="67" t="s">
        <v>100</v>
      </c>
      <c r="I882" s="71">
        <v>3</v>
      </c>
      <c r="J882" s="72">
        <v>24510</v>
      </c>
      <c r="K882" s="73">
        <v>0.15</v>
      </c>
      <c r="L882" s="72">
        <v>18000</v>
      </c>
      <c r="M882" s="68">
        <f t="shared" si="67"/>
        <v>62500.5</v>
      </c>
      <c r="N882" s="68">
        <f t="shared" si="68"/>
        <v>54000</v>
      </c>
      <c r="O882" s="68">
        <f t="shared" si="69"/>
        <v>8500.5</v>
      </c>
    </row>
    <row r="883" spans="1:15" x14ac:dyDescent="0.3">
      <c r="A883" s="67" t="s">
        <v>977</v>
      </c>
      <c r="B883" s="70">
        <v>46003</v>
      </c>
      <c r="C883" s="67">
        <f t="shared" si="65"/>
        <v>2025</v>
      </c>
      <c r="D883" s="67" t="str">
        <f t="shared" si="66"/>
        <v>12 Dec</v>
      </c>
      <c r="E883" s="67" t="s">
        <v>39</v>
      </c>
      <c r="F883" s="67" t="s">
        <v>66</v>
      </c>
      <c r="G883" s="67" t="s">
        <v>65</v>
      </c>
      <c r="H883" s="67" t="s">
        <v>100</v>
      </c>
      <c r="I883" s="71">
        <v>3</v>
      </c>
      <c r="J883" s="72">
        <v>13120</v>
      </c>
      <c r="K883" s="73">
        <v>0</v>
      </c>
      <c r="L883" s="72">
        <v>9000</v>
      </c>
      <c r="M883" s="68">
        <f t="shared" si="67"/>
        <v>39360</v>
      </c>
      <c r="N883" s="68">
        <f t="shared" si="68"/>
        <v>27000</v>
      </c>
      <c r="O883" s="68">
        <f t="shared" si="69"/>
        <v>12360</v>
      </c>
    </row>
    <row r="884" spans="1:15" x14ac:dyDescent="0.3">
      <c r="A884" s="67" t="s">
        <v>978</v>
      </c>
      <c r="B884" s="70">
        <v>46004</v>
      </c>
      <c r="C884" s="67">
        <f t="shared" si="65"/>
        <v>2025</v>
      </c>
      <c r="D884" s="67" t="str">
        <f t="shared" si="66"/>
        <v>12 Dec</v>
      </c>
      <c r="E884" s="67" t="s">
        <v>42</v>
      </c>
      <c r="F884" s="67" t="s">
        <v>71</v>
      </c>
      <c r="G884" s="67" t="s">
        <v>47</v>
      </c>
      <c r="H884" s="67" t="s">
        <v>112</v>
      </c>
      <c r="I884" s="71">
        <v>50</v>
      </c>
      <c r="J884" s="72">
        <v>310</v>
      </c>
      <c r="K884" s="73">
        <v>0.05</v>
      </c>
      <c r="L884" s="72">
        <v>160</v>
      </c>
      <c r="M884" s="68">
        <f t="shared" si="67"/>
        <v>14725</v>
      </c>
      <c r="N884" s="68">
        <f t="shared" si="68"/>
        <v>8000</v>
      </c>
      <c r="O884" s="68">
        <f t="shared" si="69"/>
        <v>6725</v>
      </c>
    </row>
    <row r="885" spans="1:15" x14ac:dyDescent="0.3">
      <c r="A885" s="67" t="s">
        <v>979</v>
      </c>
      <c r="B885" s="70">
        <v>46004</v>
      </c>
      <c r="C885" s="67">
        <f t="shared" si="65"/>
        <v>2025</v>
      </c>
      <c r="D885" s="67" t="str">
        <f t="shared" si="66"/>
        <v>12 Dec</v>
      </c>
      <c r="E885" s="67" t="s">
        <v>42</v>
      </c>
      <c r="F885" s="67" t="s">
        <v>66</v>
      </c>
      <c r="G885" s="67" t="s">
        <v>65</v>
      </c>
      <c r="H885" s="67" t="s">
        <v>89</v>
      </c>
      <c r="I885" s="71">
        <v>3</v>
      </c>
      <c r="J885" s="72">
        <v>13560</v>
      </c>
      <c r="K885" s="73">
        <v>0.05</v>
      </c>
      <c r="L885" s="72">
        <v>9000</v>
      </c>
      <c r="M885" s="68">
        <f t="shared" si="67"/>
        <v>38646</v>
      </c>
      <c r="N885" s="68">
        <f t="shared" si="68"/>
        <v>27000</v>
      </c>
      <c r="O885" s="68">
        <f t="shared" si="69"/>
        <v>11646</v>
      </c>
    </row>
    <row r="886" spans="1:15" x14ac:dyDescent="0.3">
      <c r="A886" s="67" t="s">
        <v>980</v>
      </c>
      <c r="B886" s="70">
        <v>46005</v>
      </c>
      <c r="C886" s="67">
        <f t="shared" si="65"/>
        <v>2025</v>
      </c>
      <c r="D886" s="67" t="str">
        <f t="shared" si="66"/>
        <v>12 Dec</v>
      </c>
      <c r="E886" s="67" t="s">
        <v>42</v>
      </c>
      <c r="F886" s="67" t="s">
        <v>66</v>
      </c>
      <c r="G886" s="67" t="s">
        <v>65</v>
      </c>
      <c r="H886" s="67" t="s">
        <v>112</v>
      </c>
      <c r="I886" s="71">
        <v>2</v>
      </c>
      <c r="J886" s="72">
        <v>14120</v>
      </c>
      <c r="K886" s="73">
        <v>0.1</v>
      </c>
      <c r="L886" s="72">
        <v>9000</v>
      </c>
      <c r="M886" s="68">
        <f t="shared" si="67"/>
        <v>25416</v>
      </c>
      <c r="N886" s="68">
        <f t="shared" si="68"/>
        <v>18000</v>
      </c>
      <c r="O886" s="68">
        <f t="shared" si="69"/>
        <v>7416</v>
      </c>
    </row>
    <row r="887" spans="1:15" x14ac:dyDescent="0.3">
      <c r="A887" s="67" t="s">
        <v>981</v>
      </c>
      <c r="B887" s="70">
        <v>46005</v>
      </c>
      <c r="C887" s="67">
        <f t="shared" si="65"/>
        <v>2025</v>
      </c>
      <c r="D887" s="67" t="str">
        <f t="shared" si="66"/>
        <v>12 Dec</v>
      </c>
      <c r="E887" s="67" t="s">
        <v>48</v>
      </c>
      <c r="F887" s="67" t="s">
        <v>71</v>
      </c>
      <c r="G887" s="67" t="s">
        <v>44</v>
      </c>
      <c r="H887" s="67" t="s">
        <v>98</v>
      </c>
      <c r="I887" s="71">
        <v>3</v>
      </c>
      <c r="J887" s="72">
        <v>730</v>
      </c>
      <c r="K887" s="73">
        <v>0.1</v>
      </c>
      <c r="L887" s="72">
        <v>380</v>
      </c>
      <c r="M887" s="68">
        <f t="shared" si="67"/>
        <v>1971</v>
      </c>
      <c r="N887" s="68">
        <f t="shared" si="68"/>
        <v>1140</v>
      </c>
      <c r="O887" s="68">
        <f t="shared" si="69"/>
        <v>831</v>
      </c>
    </row>
    <row r="888" spans="1:15" x14ac:dyDescent="0.3">
      <c r="A888" s="67" t="s">
        <v>982</v>
      </c>
      <c r="B888" s="70">
        <v>46006</v>
      </c>
      <c r="C888" s="67">
        <f t="shared" si="65"/>
        <v>2025</v>
      </c>
      <c r="D888" s="67" t="str">
        <f t="shared" si="66"/>
        <v>12 Dec</v>
      </c>
      <c r="E888" s="67" t="s">
        <v>45</v>
      </c>
      <c r="F888" s="67" t="s">
        <v>71</v>
      </c>
      <c r="G888" s="67" t="s">
        <v>44</v>
      </c>
      <c r="H888" s="67" t="s">
        <v>93</v>
      </c>
      <c r="I888" s="71">
        <v>16</v>
      </c>
      <c r="J888" s="72">
        <v>730</v>
      </c>
      <c r="K888" s="73">
        <v>0.15</v>
      </c>
      <c r="L888" s="72">
        <v>380</v>
      </c>
      <c r="M888" s="68">
        <f t="shared" si="67"/>
        <v>9928</v>
      </c>
      <c r="N888" s="68">
        <f t="shared" si="68"/>
        <v>6080</v>
      </c>
      <c r="O888" s="68">
        <f t="shared" si="69"/>
        <v>3848</v>
      </c>
    </row>
    <row r="889" spans="1:15" x14ac:dyDescent="0.3">
      <c r="A889" s="67" t="s">
        <v>983</v>
      </c>
      <c r="B889" s="70">
        <v>46007</v>
      </c>
      <c r="C889" s="67">
        <f t="shared" si="65"/>
        <v>2025</v>
      </c>
      <c r="D889" s="67" t="str">
        <f t="shared" si="66"/>
        <v>12 Dec</v>
      </c>
      <c r="E889" s="67" t="s">
        <v>45</v>
      </c>
      <c r="F889" s="67" t="s">
        <v>71</v>
      </c>
      <c r="G889" s="67" t="s">
        <v>44</v>
      </c>
      <c r="H889" s="67" t="s">
        <v>93</v>
      </c>
      <c r="I889" s="71">
        <v>12</v>
      </c>
      <c r="J889" s="72">
        <v>690</v>
      </c>
      <c r="K889" s="73">
        <v>0.05</v>
      </c>
      <c r="L889" s="72">
        <v>380</v>
      </c>
      <c r="M889" s="68">
        <f t="shared" si="67"/>
        <v>7866</v>
      </c>
      <c r="N889" s="68">
        <f t="shared" si="68"/>
        <v>4560</v>
      </c>
      <c r="O889" s="68">
        <f t="shared" si="69"/>
        <v>3306</v>
      </c>
    </row>
    <row r="890" spans="1:15" x14ac:dyDescent="0.3">
      <c r="A890" s="67" t="s">
        <v>984</v>
      </c>
      <c r="B890" s="70">
        <v>46008</v>
      </c>
      <c r="C890" s="67">
        <f t="shared" si="65"/>
        <v>2025</v>
      </c>
      <c r="D890" s="67" t="str">
        <f t="shared" si="66"/>
        <v>12 Dec</v>
      </c>
      <c r="E890" s="67" t="s">
        <v>45</v>
      </c>
      <c r="F890" s="67" t="s">
        <v>71</v>
      </c>
      <c r="G890" s="67" t="s">
        <v>44</v>
      </c>
      <c r="H890" s="67" t="s">
        <v>87</v>
      </c>
      <c r="I890" s="71">
        <v>16</v>
      </c>
      <c r="J890" s="72">
        <v>710</v>
      </c>
      <c r="K890" s="73">
        <v>0</v>
      </c>
      <c r="L890" s="72">
        <v>380</v>
      </c>
      <c r="M890" s="68">
        <f t="shared" si="67"/>
        <v>11360</v>
      </c>
      <c r="N890" s="68">
        <f t="shared" si="68"/>
        <v>6080</v>
      </c>
      <c r="O890" s="68">
        <f t="shared" si="69"/>
        <v>5280</v>
      </c>
    </row>
    <row r="891" spans="1:15" x14ac:dyDescent="0.3">
      <c r="A891" s="67" t="s">
        <v>985</v>
      </c>
      <c r="B891" s="70">
        <v>46008</v>
      </c>
      <c r="C891" s="67">
        <f t="shared" si="65"/>
        <v>2025</v>
      </c>
      <c r="D891" s="67" t="str">
        <f t="shared" si="66"/>
        <v>12 Dec</v>
      </c>
      <c r="E891" s="67" t="s">
        <v>42</v>
      </c>
      <c r="F891" s="67" t="s">
        <v>71</v>
      </c>
      <c r="G891" s="67" t="s">
        <v>47</v>
      </c>
      <c r="H891" s="67" t="s">
        <v>89</v>
      </c>
      <c r="I891" s="71">
        <v>19</v>
      </c>
      <c r="J891" s="72">
        <v>290</v>
      </c>
      <c r="K891" s="73">
        <v>0.05</v>
      </c>
      <c r="L891" s="72">
        <v>160</v>
      </c>
      <c r="M891" s="68">
        <f t="shared" si="67"/>
        <v>5234.5</v>
      </c>
      <c r="N891" s="68">
        <f t="shared" si="68"/>
        <v>3040</v>
      </c>
      <c r="O891" s="68">
        <f t="shared" si="69"/>
        <v>2194.5</v>
      </c>
    </row>
    <row r="892" spans="1:15" x14ac:dyDescent="0.3">
      <c r="A892" s="67" t="s">
        <v>986</v>
      </c>
      <c r="B892" s="70">
        <v>46008</v>
      </c>
      <c r="C892" s="67">
        <f t="shared" si="65"/>
        <v>2025</v>
      </c>
      <c r="D892" s="67" t="str">
        <f t="shared" si="66"/>
        <v>12 Dec</v>
      </c>
      <c r="E892" s="67" t="s">
        <v>45</v>
      </c>
      <c r="F892" s="67" t="s">
        <v>66</v>
      </c>
      <c r="G892" s="67" t="s">
        <v>38</v>
      </c>
      <c r="H892" s="67" t="s">
        <v>87</v>
      </c>
      <c r="I892" s="71">
        <v>2</v>
      </c>
      <c r="J892" s="72">
        <v>13660</v>
      </c>
      <c r="K892" s="73">
        <v>0.15</v>
      </c>
      <c r="L892" s="72">
        <v>9500</v>
      </c>
      <c r="M892" s="68">
        <f t="shared" si="67"/>
        <v>23222</v>
      </c>
      <c r="N892" s="68">
        <f t="shared" si="68"/>
        <v>19000</v>
      </c>
      <c r="O892" s="68">
        <f t="shared" si="69"/>
        <v>4222</v>
      </c>
    </row>
    <row r="893" spans="1:15" x14ac:dyDescent="0.3">
      <c r="A893" s="67" t="s">
        <v>987</v>
      </c>
      <c r="B893" s="70">
        <v>46009</v>
      </c>
      <c r="C893" s="67">
        <f t="shared" si="65"/>
        <v>2025</v>
      </c>
      <c r="D893" s="67" t="str">
        <f t="shared" si="66"/>
        <v>12 Dec</v>
      </c>
      <c r="E893" s="67" t="s">
        <v>48</v>
      </c>
      <c r="F893" s="67" t="s">
        <v>66</v>
      </c>
      <c r="G893" s="67" t="s">
        <v>53</v>
      </c>
      <c r="H893" s="67" t="s">
        <v>95</v>
      </c>
      <c r="I893" s="71">
        <v>1</v>
      </c>
      <c r="J893" s="72">
        <v>10740</v>
      </c>
      <c r="K893" s="73">
        <v>0.05</v>
      </c>
      <c r="L893" s="72">
        <v>8000</v>
      </c>
      <c r="M893" s="68">
        <f t="shared" si="67"/>
        <v>10203</v>
      </c>
      <c r="N893" s="68">
        <f t="shared" si="68"/>
        <v>8000</v>
      </c>
      <c r="O893" s="68">
        <f t="shared" si="69"/>
        <v>2203</v>
      </c>
    </row>
    <row r="894" spans="1:15" x14ac:dyDescent="0.3">
      <c r="A894" s="67" t="s">
        <v>988</v>
      </c>
      <c r="B894" s="70">
        <v>46010</v>
      </c>
      <c r="C894" s="67">
        <f t="shared" si="65"/>
        <v>2025</v>
      </c>
      <c r="D894" s="67" t="str">
        <f t="shared" si="66"/>
        <v>12 Dec</v>
      </c>
      <c r="E894" s="67" t="s">
        <v>48</v>
      </c>
      <c r="F894" s="67" t="s">
        <v>69</v>
      </c>
      <c r="G894" s="67" t="s">
        <v>68</v>
      </c>
      <c r="H894" s="67" t="s">
        <v>95</v>
      </c>
      <c r="I894" s="71">
        <v>2</v>
      </c>
      <c r="J894" s="72">
        <v>3370</v>
      </c>
      <c r="K894" s="73">
        <v>0.05</v>
      </c>
      <c r="L894" s="72">
        <v>2000</v>
      </c>
      <c r="M894" s="68">
        <f t="shared" si="67"/>
        <v>6403</v>
      </c>
      <c r="N894" s="68">
        <f t="shared" si="68"/>
        <v>4000</v>
      </c>
      <c r="O894" s="68">
        <f t="shared" si="69"/>
        <v>2403</v>
      </c>
    </row>
    <row r="895" spans="1:15" x14ac:dyDescent="0.3">
      <c r="A895" s="67" t="s">
        <v>989</v>
      </c>
      <c r="B895" s="70">
        <v>46010</v>
      </c>
      <c r="C895" s="67">
        <f t="shared" si="65"/>
        <v>2025</v>
      </c>
      <c r="D895" s="67" t="str">
        <f t="shared" si="66"/>
        <v>12 Dec</v>
      </c>
      <c r="E895" s="67" t="s">
        <v>45</v>
      </c>
      <c r="F895" s="67" t="s">
        <v>66</v>
      </c>
      <c r="G895" s="67" t="s">
        <v>65</v>
      </c>
      <c r="H895" s="67" t="s">
        <v>93</v>
      </c>
      <c r="I895" s="71">
        <v>2</v>
      </c>
      <c r="J895" s="72">
        <v>13450</v>
      </c>
      <c r="K895" s="73">
        <v>0.05</v>
      </c>
      <c r="L895" s="72">
        <v>9000</v>
      </c>
      <c r="M895" s="68">
        <f t="shared" si="67"/>
        <v>25555</v>
      </c>
      <c r="N895" s="68">
        <f t="shared" si="68"/>
        <v>18000</v>
      </c>
      <c r="O895" s="68">
        <f t="shared" si="69"/>
        <v>7555</v>
      </c>
    </row>
    <row r="896" spans="1:15" x14ac:dyDescent="0.3">
      <c r="A896" s="67" t="s">
        <v>990</v>
      </c>
      <c r="B896" s="70">
        <v>46011</v>
      </c>
      <c r="C896" s="67">
        <f t="shared" si="65"/>
        <v>2025</v>
      </c>
      <c r="D896" s="67" t="str">
        <f t="shared" si="66"/>
        <v>12 Dec</v>
      </c>
      <c r="E896" s="67" t="s">
        <v>45</v>
      </c>
      <c r="F896" s="67" t="s">
        <v>70</v>
      </c>
      <c r="G896" s="67" t="s">
        <v>62</v>
      </c>
      <c r="H896" s="67" t="s">
        <v>87</v>
      </c>
      <c r="I896" s="71">
        <v>2</v>
      </c>
      <c r="J896" s="72">
        <v>18040</v>
      </c>
      <c r="K896" s="73">
        <v>0</v>
      </c>
      <c r="L896" s="72">
        <v>12500</v>
      </c>
      <c r="M896" s="68">
        <f t="shared" si="67"/>
        <v>36080</v>
      </c>
      <c r="N896" s="68">
        <f t="shared" si="68"/>
        <v>25000</v>
      </c>
      <c r="O896" s="68">
        <f t="shared" si="69"/>
        <v>11080</v>
      </c>
    </row>
    <row r="897" spans="1:15" x14ac:dyDescent="0.3">
      <c r="A897" s="67" t="s">
        <v>991</v>
      </c>
      <c r="B897" s="70">
        <v>46013</v>
      </c>
      <c r="C897" s="67">
        <f t="shared" si="65"/>
        <v>2025</v>
      </c>
      <c r="D897" s="67" t="str">
        <f t="shared" si="66"/>
        <v>12 Dec</v>
      </c>
      <c r="E897" s="67" t="s">
        <v>39</v>
      </c>
      <c r="F897" s="67" t="s">
        <v>71</v>
      </c>
      <c r="G897" s="67" t="s">
        <v>47</v>
      </c>
      <c r="H897" s="67" t="s">
        <v>100</v>
      </c>
      <c r="I897" s="71">
        <v>32</v>
      </c>
      <c r="J897" s="72">
        <v>290</v>
      </c>
      <c r="K897" s="73">
        <v>0</v>
      </c>
      <c r="L897" s="72">
        <v>160</v>
      </c>
      <c r="M897" s="68">
        <f t="shared" si="67"/>
        <v>9280</v>
      </c>
      <c r="N897" s="68">
        <f t="shared" si="68"/>
        <v>5120</v>
      </c>
      <c r="O897" s="68">
        <f t="shared" si="69"/>
        <v>4160</v>
      </c>
    </row>
    <row r="898" spans="1:15" x14ac:dyDescent="0.3">
      <c r="A898" s="67" t="s">
        <v>992</v>
      </c>
      <c r="B898" s="70">
        <v>46013</v>
      </c>
      <c r="C898" s="67">
        <f t="shared" ref="C898:C961" si="70">YEAR(B898)</f>
        <v>2025</v>
      </c>
      <c r="D898" s="67" t="str">
        <f t="shared" si="66"/>
        <v>12 Dec</v>
      </c>
      <c r="E898" s="67" t="s">
        <v>45</v>
      </c>
      <c r="F898" s="67" t="s">
        <v>69</v>
      </c>
      <c r="G898" s="67" t="s">
        <v>60</v>
      </c>
      <c r="H898" s="67" t="s">
        <v>87</v>
      </c>
      <c r="I898" s="71">
        <v>2</v>
      </c>
      <c r="J898" s="72">
        <v>23350</v>
      </c>
      <c r="K898" s="73">
        <v>0.15</v>
      </c>
      <c r="L898" s="72">
        <v>18000</v>
      </c>
      <c r="M898" s="68">
        <f t="shared" si="67"/>
        <v>39695</v>
      </c>
      <c r="N898" s="68">
        <f t="shared" si="68"/>
        <v>36000</v>
      </c>
      <c r="O898" s="68">
        <f t="shared" ref="O898:O961" si="71">M898-N898</f>
        <v>3695</v>
      </c>
    </row>
    <row r="899" spans="1:15" x14ac:dyDescent="0.3">
      <c r="A899" s="67" t="s">
        <v>993</v>
      </c>
      <c r="B899" s="70">
        <v>46015</v>
      </c>
      <c r="C899" s="67">
        <f t="shared" si="70"/>
        <v>2025</v>
      </c>
      <c r="D899" s="67" t="str">
        <f t="shared" si="66"/>
        <v>12 Dec</v>
      </c>
      <c r="E899" s="67" t="s">
        <v>36</v>
      </c>
      <c r="F899" s="67" t="s">
        <v>70</v>
      </c>
      <c r="G899" s="67" t="s">
        <v>58</v>
      </c>
      <c r="H899" s="67" t="s">
        <v>91</v>
      </c>
      <c r="I899" s="71">
        <v>4</v>
      </c>
      <c r="J899" s="72">
        <v>8900</v>
      </c>
      <c r="K899" s="73">
        <v>0</v>
      </c>
      <c r="L899" s="72">
        <v>6000</v>
      </c>
      <c r="M899" s="68">
        <f t="shared" si="67"/>
        <v>35600</v>
      </c>
      <c r="N899" s="68">
        <f t="shared" si="68"/>
        <v>24000</v>
      </c>
      <c r="O899" s="68">
        <f t="shared" si="71"/>
        <v>11600</v>
      </c>
    </row>
    <row r="900" spans="1:15" x14ac:dyDescent="0.3">
      <c r="A900" s="67" t="s">
        <v>994</v>
      </c>
      <c r="B900" s="70">
        <v>46016</v>
      </c>
      <c r="C900" s="67">
        <f t="shared" si="70"/>
        <v>2025</v>
      </c>
      <c r="D900" s="67" t="str">
        <f t="shared" si="66"/>
        <v>12 Dec</v>
      </c>
      <c r="E900" s="67" t="s">
        <v>48</v>
      </c>
      <c r="F900" s="67" t="s">
        <v>70</v>
      </c>
      <c r="G900" s="67" t="s">
        <v>58</v>
      </c>
      <c r="H900" s="67" t="s">
        <v>95</v>
      </c>
      <c r="I900" s="71">
        <v>4</v>
      </c>
      <c r="J900" s="72">
        <v>9330</v>
      </c>
      <c r="K900" s="73">
        <v>0.1</v>
      </c>
      <c r="L900" s="72">
        <v>6000</v>
      </c>
      <c r="M900" s="68">
        <f t="shared" si="67"/>
        <v>33588</v>
      </c>
      <c r="N900" s="68">
        <f t="shared" si="68"/>
        <v>24000</v>
      </c>
      <c r="O900" s="68">
        <f t="shared" si="71"/>
        <v>9588</v>
      </c>
    </row>
    <row r="901" spans="1:15" x14ac:dyDescent="0.3">
      <c r="A901" s="67" t="s">
        <v>995</v>
      </c>
      <c r="B901" s="70">
        <v>46018</v>
      </c>
      <c r="C901" s="67">
        <f t="shared" si="70"/>
        <v>2025</v>
      </c>
      <c r="D901" s="67" t="str">
        <f t="shared" si="66"/>
        <v>12 Dec</v>
      </c>
      <c r="E901" s="67" t="s">
        <v>45</v>
      </c>
      <c r="F901" s="67" t="s">
        <v>71</v>
      </c>
      <c r="G901" s="67" t="s">
        <v>55</v>
      </c>
      <c r="H901" s="67" t="s">
        <v>93</v>
      </c>
      <c r="I901" s="71">
        <v>16</v>
      </c>
      <c r="J901" s="72">
        <v>460</v>
      </c>
      <c r="K901" s="73">
        <v>0.1</v>
      </c>
      <c r="L901" s="72">
        <v>250</v>
      </c>
      <c r="M901" s="68">
        <f t="shared" si="67"/>
        <v>6624</v>
      </c>
      <c r="N901" s="68">
        <f t="shared" si="68"/>
        <v>4000</v>
      </c>
      <c r="O901" s="68">
        <f t="shared" si="71"/>
        <v>2624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4C93"/>
  </sheetPr>
  <dimension ref="B1:B22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35" customWidth="1"/>
  </cols>
  <sheetData>
    <row r="1" spans="2:2" ht="21" x14ac:dyDescent="0.4">
      <c r="B1" s="74" t="s">
        <v>996</v>
      </c>
    </row>
    <row r="2" spans="2:2" x14ac:dyDescent="0.3">
      <c r="B2" s="75" t="s">
        <v>997</v>
      </c>
    </row>
    <row r="3" spans="2:2" x14ac:dyDescent="0.3">
      <c r="B3" s="67" t="s">
        <v>998</v>
      </c>
    </row>
    <row r="4" spans="2:2" x14ac:dyDescent="0.3">
      <c r="B4" s="67" t="s">
        <v>999</v>
      </c>
    </row>
    <row r="5" spans="2:2" x14ac:dyDescent="0.3">
      <c r="B5" s="67" t="s">
        <v>1000</v>
      </c>
    </row>
    <row r="6" spans="2:2" x14ac:dyDescent="0.3">
      <c r="B6" s="67" t="s">
        <v>1001</v>
      </c>
    </row>
    <row r="7" spans="2:2" x14ac:dyDescent="0.3">
      <c r="B7" s="75" t="s">
        <v>1002</v>
      </c>
    </row>
    <row r="8" spans="2:2" x14ac:dyDescent="0.3">
      <c r="B8" s="67" t="s">
        <v>1003</v>
      </c>
    </row>
    <row r="9" spans="2:2" x14ac:dyDescent="0.3">
      <c r="B9" s="67" t="s">
        <v>1004</v>
      </c>
    </row>
    <row r="10" spans="2:2" x14ac:dyDescent="0.3">
      <c r="B10" s="67" t="s">
        <v>1005</v>
      </c>
    </row>
    <row r="11" spans="2:2" x14ac:dyDescent="0.3">
      <c r="B11" s="67" t="s">
        <v>1006</v>
      </c>
    </row>
    <row r="12" spans="2:2" x14ac:dyDescent="0.3">
      <c r="B12" s="67" t="s">
        <v>1007</v>
      </c>
    </row>
    <row r="13" spans="2:2" x14ac:dyDescent="0.3">
      <c r="B13" s="75" t="s">
        <v>1008</v>
      </c>
    </row>
    <row r="14" spans="2:2" x14ac:dyDescent="0.3">
      <c r="B14" s="67" t="s">
        <v>1009</v>
      </c>
    </row>
    <row r="15" spans="2:2" x14ac:dyDescent="0.3">
      <c r="B15" s="67" t="s">
        <v>1010</v>
      </c>
    </row>
    <row r="16" spans="2:2" x14ac:dyDescent="0.3">
      <c r="B16" s="75" t="s">
        <v>1011</v>
      </c>
    </row>
    <row r="17" spans="2:2" x14ac:dyDescent="0.3">
      <c r="B17" s="67" t="s">
        <v>1012</v>
      </c>
    </row>
    <row r="18" spans="2:2" x14ac:dyDescent="0.3">
      <c r="B18" s="67" t="s">
        <v>1013</v>
      </c>
    </row>
    <row r="19" spans="2:2" x14ac:dyDescent="0.3">
      <c r="B19" s="75" t="s">
        <v>1014</v>
      </c>
    </row>
    <row r="20" spans="2:2" x14ac:dyDescent="0.3">
      <c r="B20" s="67" t="s">
        <v>1015</v>
      </c>
    </row>
    <row r="21" spans="2:2" x14ac:dyDescent="0.3">
      <c r="B21" s="67" t="s">
        <v>1016</v>
      </c>
    </row>
    <row r="22" spans="2:2" x14ac:dyDescent="0.3">
      <c r="B22" s="67" t="s">
        <v>1017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Pivots</vt:lpstr>
      <vt:lpstr>Calc</vt:lpstr>
      <vt:lpstr>Sales_Data</vt:lpstr>
      <vt:lpstr>Guide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Dushyant Tomar</cp:lastModifiedBy>
  <cp:revision>1</cp:revision>
  <dcterms:created xsi:type="dcterms:W3CDTF">2026-10-12T18:43:20Z</dcterms:created>
  <dcterms:modified xsi:type="dcterms:W3CDTF">2026-10-13T05:01:10Z</dcterms:modified>
  <dc:language>en-US</dc:language>
</cp:coreProperties>
</file>